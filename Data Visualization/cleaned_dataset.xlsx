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mothy\Desktop\Blessy\Alliance University\Sem 3\DV\"/>
    </mc:Choice>
  </mc:AlternateContent>
  <bookViews>
    <workbookView xWindow="0" yWindow="0" windowWidth="28800" windowHeight="12180" activeTab="5"/>
  </bookViews>
  <sheets>
    <sheet name="Sheet1" sheetId="1" r:id="rId1"/>
    <sheet name="Analysis" sheetId="2" r:id="rId2"/>
    <sheet name="Planet Status" sheetId="3" r:id="rId3"/>
    <sheet name="Top 10 Mass" sheetId="4" r:id="rId4"/>
    <sheet name="Mass vs Radius" sheetId="5" r:id="rId5"/>
    <sheet name="Dashboard" sheetId="6" r:id="rId6"/>
  </sheets>
  <calcPr calcId="162913"/>
</workbook>
</file>

<file path=xl/calcChain.xml><?xml version="1.0" encoding="utf-8"?>
<calcChain xmlns="http://schemas.openxmlformats.org/spreadsheetml/2006/main">
  <c r="B5" i="6" l="1"/>
  <c r="E5" i="6"/>
  <c r="B8" i="6"/>
  <c r="E8" i="6"/>
  <c r="B2" i="3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<sst xmlns="http://schemas.openxmlformats.org/spreadsheetml/2006/main" count="263" uniqueCount="135">
  <si>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</si>
  <si>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</si>
  <si>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</si>
  <si>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</si>
  <si>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</si>
  <si>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</si>
  <si>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</si>
  <si>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</si>
  <si>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</si>
  <si>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</si>
  <si>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51 Peg b</t>
  </si>
  <si>
    <t>Confirmed</t>
  </si>
  <si>
    <t>BD+20 594 b</t>
  </si>
  <si>
    <t>beta Pic c</t>
  </si>
  <si>
    <t>CoRoT-29 b</t>
  </si>
  <si>
    <t>HAT-P-50 b</t>
  </si>
  <si>
    <t>HAT-P-51 Ab</t>
  </si>
  <si>
    <t>HAT-P-52 b</t>
  </si>
  <si>
    <t>HAT-P-53 b</t>
  </si>
  <si>
    <t>HAT-P-55 b</t>
  </si>
  <si>
    <t>HAT-P-56 b</t>
  </si>
  <si>
    <t>HAT-P-57 Ab</t>
  </si>
  <si>
    <t>HATS-10 b</t>
  </si>
  <si>
    <t>HATS-11 b</t>
  </si>
  <si>
    <t>HATS-13 b</t>
  </si>
  <si>
    <t>HATS-14 b</t>
  </si>
  <si>
    <t>HATS-17 b</t>
  </si>
  <si>
    <t>HATS-8 b</t>
  </si>
  <si>
    <t>HATS-9 b</t>
  </si>
  <si>
    <t>HD 17156 b</t>
  </si>
  <si>
    <t>HD 21520 b</t>
  </si>
  <si>
    <t>HD 219134 c</t>
  </si>
  <si>
    <t>HIP 116454 Ab</t>
  </si>
  <si>
    <t>K2-10 b</t>
  </si>
  <si>
    <t>K2-24 b</t>
  </si>
  <si>
    <t>K2-24 c</t>
  </si>
  <si>
    <t>K2-260 Ab</t>
  </si>
  <si>
    <t>K2-261 b</t>
  </si>
  <si>
    <t>K2-266 Ab</t>
  </si>
  <si>
    <t>K2-266 Ac</t>
  </si>
  <si>
    <t>K2-266 Ad</t>
  </si>
  <si>
    <t>K2-266 Ae</t>
  </si>
  <si>
    <t>K2-267 Ab</t>
  </si>
  <si>
    <t>K2-29 Ab</t>
  </si>
  <si>
    <t>K2-30 b</t>
  </si>
  <si>
    <t>K2-34 b</t>
  </si>
  <si>
    <t>KELT-10 b</t>
  </si>
  <si>
    <t>KELT-15 Ab</t>
  </si>
  <si>
    <t>KELT-16 Ab</t>
  </si>
  <si>
    <t>KELT-4 Ab</t>
  </si>
  <si>
    <t>KELT-8 b</t>
  </si>
  <si>
    <t>Kepler-100 b</t>
  </si>
  <si>
    <t>Kepler-102 c</t>
  </si>
  <si>
    <t>Kepler-104 Ab</t>
  </si>
  <si>
    <t>Kepler-104 Ad</t>
  </si>
  <si>
    <t>Kepler-106 e</t>
  </si>
  <si>
    <t>Kepler-131 b</t>
  </si>
  <si>
    <t>Kepler-131 c</t>
  </si>
  <si>
    <t>Kepler-138 d</t>
  </si>
  <si>
    <t>Kepler-1704 b</t>
  </si>
  <si>
    <t>Kepler-1710 b</t>
  </si>
  <si>
    <t>Kepler-20 Ab</t>
  </si>
  <si>
    <t>Kepler-25 Ab</t>
  </si>
  <si>
    <t>Kepler-25 Ac</t>
  </si>
  <si>
    <t>Kepler-289 b</t>
  </si>
  <si>
    <t>Kepler-289 c</t>
  </si>
  <si>
    <t>Kepler-289 d</t>
  </si>
  <si>
    <t>Kepler-324 d</t>
  </si>
  <si>
    <t>Kepler-406 b</t>
  </si>
  <si>
    <t>Kepler-406 c</t>
  </si>
  <si>
    <t>Kepler-422 b</t>
  </si>
  <si>
    <t>Kepler-423 b</t>
  </si>
  <si>
    <t>Kepler-424 b</t>
  </si>
  <si>
    <t>Kepler-425 b</t>
  </si>
  <si>
    <t>Kepler-426 b</t>
  </si>
  <si>
    <t>Kepler-427 b</t>
  </si>
  <si>
    <t>Kepler-432 b</t>
  </si>
  <si>
    <t>Kepler-447 b</t>
  </si>
  <si>
    <t>Kepler-454 Ab</t>
  </si>
  <si>
    <t>Kepler-56 b</t>
  </si>
  <si>
    <t>Kepler-56 c</t>
  </si>
  <si>
    <t>Kepler-89 Ab</t>
  </si>
  <si>
    <t>Kepler-89 Ac</t>
  </si>
  <si>
    <t>Kepler-89 Ad</t>
  </si>
  <si>
    <t>Kepler-89 Ae</t>
  </si>
  <si>
    <t>Kepler-99 Bb</t>
  </si>
  <si>
    <t>nu2 Lup b</t>
  </si>
  <si>
    <t>nu2 Lup c</t>
  </si>
  <si>
    <t>nu2 Lup d</t>
  </si>
  <si>
    <t>TOI-1338 (AB)b</t>
  </si>
  <si>
    <t>TOI-4994 b</t>
  </si>
  <si>
    <t>TOI-5110 b</t>
  </si>
  <si>
    <t>TOI-5720 b</t>
  </si>
  <si>
    <t>TOI-6038 Ab</t>
  </si>
  <si>
    <t>TOI-837 Ab</t>
  </si>
  <si>
    <t>WASP-108 Ab</t>
  </si>
  <si>
    <t>WASP-109 b</t>
  </si>
  <si>
    <t>WASP-110 b</t>
  </si>
  <si>
    <t>WASP-111 Ab</t>
  </si>
  <si>
    <t>WASP-112 b</t>
  </si>
  <si>
    <t>WASP-119 b</t>
  </si>
  <si>
    <t>WASP-120 Ab</t>
  </si>
  <si>
    <t>WASP-121 b</t>
  </si>
  <si>
    <t>WASP-122 Ab</t>
  </si>
  <si>
    <t>WASP-123 Ab</t>
  </si>
  <si>
    <t>WASP-124 b</t>
  </si>
  <si>
    <t>WASP-129 Ab</t>
  </si>
  <si>
    <t>WASP-12 Ab</t>
  </si>
  <si>
    <t>WASP-132 b</t>
  </si>
  <si>
    <t>WASP-133 b</t>
  </si>
  <si>
    <t>WASP-135 b</t>
  </si>
  <si>
    <t>WASP-157 b</t>
  </si>
  <si>
    <t>WASP-22 b</t>
  </si>
  <si>
    <t>WASP-41 b</t>
  </si>
  <si>
    <t>WASP-43 b</t>
  </si>
  <si>
    <t>WASP-55 Ab</t>
  </si>
  <si>
    <t>WASP-69 b</t>
  </si>
  <si>
    <t>WASP-70 Ab</t>
  </si>
  <si>
    <t>WASP-83 b</t>
  </si>
  <si>
    <t>WASP-85 Ab</t>
  </si>
  <si>
    <t>WASP-87 Ab</t>
  </si>
  <si>
    <t>WASP-89 b</t>
  </si>
  <si>
    <t>XO-4 b</t>
  </si>
  <si>
    <t>Highest Mass Planet</t>
  </si>
  <si>
    <t>Highest Mass</t>
  </si>
  <si>
    <t>Lowest Mass Planet</t>
  </si>
  <si>
    <t>Lowest Mass</t>
  </si>
  <si>
    <t>Average Mass</t>
  </si>
  <si>
    <t>Average Radius</t>
  </si>
  <si>
    <t>Planet Status</t>
  </si>
  <si>
    <t>Number of Planets</t>
  </si>
  <si>
    <t>Planet</t>
  </si>
  <si>
    <t>Mass</t>
  </si>
  <si>
    <t>PLANET DATA VISUALIZATION DASHBOARD</t>
  </si>
  <si>
    <t>Analysis of Planet Status, Mass and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</si>
</sst>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Planets by Planet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'Planet Status'!$A$2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'Planet Status'!$A$2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'Planet Status'!$B$2</c:f>
              <c:numCache>
                <c:formatCode>General</c:formatCode>
                <c:ptCount val="1"/>
                <c:pt idx="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7-4E8F-B9E8-8953A755C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239231"/>
        <c:axId val="1031244639"/>
      </c:barChart>
      <c:catAx>
        <c:axId val="1031239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44639"/>
        <c:crosses val="autoZero"/>
        <c:auto val="1"/>
        <c:lblAlgn val="ctr"/>
        <c:lblOffset val="100"/>
        <c:noMultiLvlLbl val="0"/>
      </c:catAx>
      <c:valAx>
        <c:axId val="10312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Plantes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Planets by Mass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Mass'!$B$1</c:f>
              <c:strCache>
                <c:ptCount val="1"/>
                <c:pt idx="0">
                  <c:v>Mass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Mass'!$A$2:$A$11</c:f>
              <c:strCache>
                <c:ptCount val="10"/>
                <c:pt idx="0">
                  <c:v>beta Pic c</c:v>
                </c:pt>
                <c:pt idx="1">
                  <c:v>WASP-89 b</c:v>
                </c:pt>
                <c:pt idx="2">
                  <c:v>Kepler-104 Ad</c:v>
                </c:pt>
                <c:pt idx="3">
                  <c:v>Kepler-432 b</c:v>
                </c:pt>
                <c:pt idx="4">
                  <c:v>WASP-120 Ab</c:v>
                </c:pt>
                <c:pt idx="5">
                  <c:v>Kepler-1704 b</c:v>
                </c:pt>
                <c:pt idx="6">
                  <c:v>HD 17156 b</c:v>
                </c:pt>
                <c:pt idx="7">
                  <c:v>K2-267 Ab</c:v>
                </c:pt>
                <c:pt idx="8">
                  <c:v>TOI-5110 b</c:v>
                </c:pt>
                <c:pt idx="9">
                  <c:v>KELT-16 Ab</c:v>
                </c:pt>
              </c:strCache>
            </c:strRef>
          </c:cat>
          <c:val>
            <c:numRef>
              <c:f>'Top 10 Mass'!$B$2:$B$11</c:f>
              <c:numCache>
                <c:formatCode>General</c:formatCode>
                <c:ptCount val="10"/>
                <c:pt idx="0">
                  <c:v>8.89</c:v>
                </c:pt>
                <c:pt idx="1">
                  <c:v>5.9</c:v>
                </c:pt>
                <c:pt idx="2">
                  <c:v>5.54</c:v>
                </c:pt>
                <c:pt idx="3">
                  <c:v>5.41</c:v>
                </c:pt>
                <c:pt idx="4">
                  <c:v>5.0599999999999996</c:v>
                </c:pt>
                <c:pt idx="5">
                  <c:v>4.16</c:v>
                </c:pt>
                <c:pt idx="6">
                  <c:v>3.1949999999999998</c:v>
                </c:pt>
                <c:pt idx="7">
                  <c:v>3</c:v>
                </c:pt>
                <c:pt idx="8">
                  <c:v>2.9</c:v>
                </c:pt>
                <c:pt idx="9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E-45D8-8142-123045520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217423"/>
        <c:axId val="1032209519"/>
      </c:barChart>
      <c:catAx>
        <c:axId val="103221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09519"/>
        <c:crosses val="autoZero"/>
        <c:auto val="1"/>
        <c:lblAlgn val="ctr"/>
        <c:lblOffset val="100"/>
        <c:noMultiLvlLbl val="0"/>
      </c:catAx>
      <c:valAx>
        <c:axId val="10322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1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Planet Mass and Radius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vs Radius'!$B$1</c:f>
              <c:strCache>
                <c:ptCount val="1"/>
                <c:pt idx="0">
                  <c:v>radius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'Mass vs Radius'!$A$2:$A$113</c:f>
              <c:numCache>
                <c:formatCode>General</c:formatCode>
                <c:ptCount val="112"/>
                <c:pt idx="0">
                  <c:v>8.89</c:v>
                </c:pt>
                <c:pt idx="1">
                  <c:v>5.9</c:v>
                </c:pt>
                <c:pt idx="2">
                  <c:v>5.54</c:v>
                </c:pt>
                <c:pt idx="3">
                  <c:v>5.41</c:v>
                </c:pt>
                <c:pt idx="4">
                  <c:v>5.0599999999999996</c:v>
                </c:pt>
                <c:pt idx="5">
                  <c:v>4.16</c:v>
                </c:pt>
                <c:pt idx="6">
                  <c:v>3.1949999999999998</c:v>
                </c:pt>
                <c:pt idx="7">
                  <c:v>3</c:v>
                </c:pt>
                <c:pt idx="8">
                  <c:v>2.9</c:v>
                </c:pt>
                <c:pt idx="9">
                  <c:v>2.75</c:v>
                </c:pt>
                <c:pt idx="10">
                  <c:v>2.31</c:v>
                </c:pt>
                <c:pt idx="11">
                  <c:v>2.21</c:v>
                </c:pt>
                <c:pt idx="12">
                  <c:v>2.052</c:v>
                </c:pt>
                <c:pt idx="13">
                  <c:v>1.9</c:v>
                </c:pt>
                <c:pt idx="14">
                  <c:v>1.85</c:v>
                </c:pt>
                <c:pt idx="15">
                  <c:v>1.85</c:v>
                </c:pt>
                <c:pt idx="16">
                  <c:v>1.78</c:v>
                </c:pt>
                <c:pt idx="17">
                  <c:v>1.6160000000000001</c:v>
                </c:pt>
                <c:pt idx="18">
                  <c:v>1.4870000000000001</c:v>
                </c:pt>
                <c:pt idx="19">
                  <c:v>1.47</c:v>
                </c:pt>
                <c:pt idx="20">
                  <c:v>1.42</c:v>
                </c:pt>
                <c:pt idx="21">
                  <c:v>1.401</c:v>
                </c:pt>
                <c:pt idx="22">
                  <c:v>1.37</c:v>
                </c:pt>
                <c:pt idx="23">
                  <c:v>1.36</c:v>
                </c:pt>
                <c:pt idx="24">
                  <c:v>1.3380000000000001</c:v>
                </c:pt>
                <c:pt idx="25">
                  <c:v>1.2649999999999999</c:v>
                </c:pt>
                <c:pt idx="26">
                  <c:v>1.23</c:v>
                </c:pt>
                <c:pt idx="27">
                  <c:v>1.1839999999999999</c:v>
                </c:pt>
                <c:pt idx="28">
                  <c:v>1.167</c:v>
                </c:pt>
                <c:pt idx="29">
                  <c:v>1.1599999999999999</c:v>
                </c:pt>
                <c:pt idx="30">
                  <c:v>1.071</c:v>
                </c:pt>
                <c:pt idx="31">
                  <c:v>1.03</c:v>
                </c:pt>
                <c:pt idx="32">
                  <c:v>1</c:v>
                </c:pt>
                <c:pt idx="33">
                  <c:v>0.94</c:v>
                </c:pt>
                <c:pt idx="34">
                  <c:v>0.92</c:v>
                </c:pt>
                <c:pt idx="35">
                  <c:v>0.92</c:v>
                </c:pt>
                <c:pt idx="36">
                  <c:v>0.91</c:v>
                </c:pt>
                <c:pt idx="37">
                  <c:v>0.9</c:v>
                </c:pt>
                <c:pt idx="38">
                  <c:v>0.88</c:v>
                </c:pt>
                <c:pt idx="39">
                  <c:v>0.874</c:v>
                </c:pt>
                <c:pt idx="40">
                  <c:v>0.85</c:v>
                </c:pt>
                <c:pt idx="41">
                  <c:v>0.85</c:v>
                </c:pt>
                <c:pt idx="42">
                  <c:v>0.83899999999999997</c:v>
                </c:pt>
                <c:pt idx="43">
                  <c:v>0.81899999999999995</c:v>
                </c:pt>
                <c:pt idx="44">
                  <c:v>0.73</c:v>
                </c:pt>
                <c:pt idx="45">
                  <c:v>0.67900000000000005</c:v>
                </c:pt>
                <c:pt idx="46">
                  <c:v>0.61699999999999999</c:v>
                </c:pt>
                <c:pt idx="47">
                  <c:v>0.61</c:v>
                </c:pt>
                <c:pt idx="48">
                  <c:v>0.6</c:v>
                </c:pt>
                <c:pt idx="49">
                  <c:v>0.59499999999999997</c:v>
                </c:pt>
                <c:pt idx="50">
                  <c:v>0.59</c:v>
                </c:pt>
                <c:pt idx="51">
                  <c:v>0.58199999999999996</c:v>
                </c:pt>
                <c:pt idx="52">
                  <c:v>0.57899999999999996</c:v>
                </c:pt>
                <c:pt idx="53">
                  <c:v>0.57599999999999996</c:v>
                </c:pt>
                <c:pt idx="54">
                  <c:v>0.56999999999999995</c:v>
                </c:pt>
                <c:pt idx="55">
                  <c:v>0.54300000000000004</c:v>
                </c:pt>
                <c:pt idx="56">
                  <c:v>0.52600000000000002</c:v>
                </c:pt>
                <c:pt idx="57">
                  <c:v>0.51500000000000001</c:v>
                </c:pt>
                <c:pt idx="58">
                  <c:v>0.47</c:v>
                </c:pt>
                <c:pt idx="59">
                  <c:v>0.43</c:v>
                </c:pt>
                <c:pt idx="60">
                  <c:v>0.42799999999999999</c:v>
                </c:pt>
                <c:pt idx="61">
                  <c:v>0.42</c:v>
                </c:pt>
                <c:pt idx="62">
                  <c:v>0.39500000000000002</c:v>
                </c:pt>
                <c:pt idx="63">
                  <c:v>0.34</c:v>
                </c:pt>
                <c:pt idx="64">
                  <c:v>0.309</c:v>
                </c:pt>
                <c:pt idx="65">
                  <c:v>0.3</c:v>
                </c:pt>
                <c:pt idx="66">
                  <c:v>0.28999999999999998</c:v>
                </c:pt>
                <c:pt idx="67">
                  <c:v>0.28000000000000003</c:v>
                </c:pt>
                <c:pt idx="68">
                  <c:v>0.26</c:v>
                </c:pt>
                <c:pt idx="69">
                  <c:v>0.25045610000000001</c:v>
                </c:pt>
                <c:pt idx="70">
                  <c:v>0.25</c:v>
                </c:pt>
                <c:pt idx="71">
                  <c:v>0.247</c:v>
                </c:pt>
                <c:pt idx="72">
                  <c:v>0.223</c:v>
                </c:pt>
                <c:pt idx="73">
                  <c:v>0.13800000000000001</c:v>
                </c:pt>
                <c:pt idx="74">
                  <c:v>8.4949999999999998E-2</c:v>
                </c:pt>
                <c:pt idx="75">
                  <c:v>7.5804999999999997E-2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6.9000000000000006E-2</c:v>
                </c:pt>
                <c:pt idx="79">
                  <c:v>5.978E-2</c:v>
                </c:pt>
                <c:pt idx="80">
                  <c:v>5.16E-2</c:v>
                </c:pt>
                <c:pt idx="81">
                  <c:v>5.0999999999999997E-2</c:v>
                </c:pt>
                <c:pt idx="82">
                  <c:v>4.4990000000000002E-2</c:v>
                </c:pt>
                <c:pt idx="83">
                  <c:v>3.7199999999999997E-2</c:v>
                </c:pt>
                <c:pt idx="84">
                  <c:v>3.5499999999999997E-2</c:v>
                </c:pt>
                <c:pt idx="85">
                  <c:v>3.5299999999999998E-2</c:v>
                </c:pt>
                <c:pt idx="86">
                  <c:v>3.5000000000000003E-2</c:v>
                </c:pt>
                <c:pt idx="87">
                  <c:v>3.4013000000000002E-2</c:v>
                </c:pt>
                <c:pt idx="88">
                  <c:v>3.1314000000000002E-2</c:v>
                </c:pt>
                <c:pt idx="89">
                  <c:v>2.9963E-2</c:v>
                </c:pt>
                <c:pt idx="90">
                  <c:v>2.8000000000000001E-2</c:v>
                </c:pt>
                <c:pt idx="91">
                  <c:v>2.725E-2</c:v>
                </c:pt>
                <c:pt idx="92">
                  <c:v>2.5999999999999999E-2</c:v>
                </c:pt>
                <c:pt idx="93">
                  <c:v>2.5466200000000001E-2</c:v>
                </c:pt>
                <c:pt idx="94">
                  <c:v>2.4899999999999999E-2</c:v>
                </c:pt>
                <c:pt idx="95">
                  <c:v>2.3E-2</c:v>
                </c:pt>
                <c:pt idx="96">
                  <c:v>2.3E-2</c:v>
                </c:pt>
                <c:pt idx="97">
                  <c:v>0.02</c:v>
                </c:pt>
                <c:pt idx="98">
                  <c:v>1.9528E-2</c:v>
                </c:pt>
                <c:pt idx="99">
                  <c:v>1.8114999999999999E-2</c:v>
                </c:pt>
                <c:pt idx="100">
                  <c:v>1.7000000000000001E-2</c:v>
                </c:pt>
                <c:pt idx="101">
                  <c:v>1.472E-2</c:v>
                </c:pt>
                <c:pt idx="102">
                  <c:v>1.2999999999999999E-2</c:v>
                </c:pt>
                <c:pt idx="103">
                  <c:v>1.2460000000000001E-2</c:v>
                </c:pt>
                <c:pt idx="104">
                  <c:v>1.19971E-2</c:v>
                </c:pt>
                <c:pt idx="105">
                  <c:v>1.0997E-2</c:v>
                </c:pt>
                <c:pt idx="106">
                  <c:v>9.4400000000000005E-3</c:v>
                </c:pt>
                <c:pt idx="107">
                  <c:v>8.9999999999999993E-3</c:v>
                </c:pt>
                <c:pt idx="108">
                  <c:v>7.0200000000000002E-3</c:v>
                </c:pt>
                <c:pt idx="109">
                  <c:v>4.15E-3</c:v>
                </c:pt>
                <c:pt idx="110">
                  <c:v>2.0100000000000001E-3</c:v>
                </c:pt>
                <c:pt idx="111">
                  <c:v>9.1E-4</c:v>
                </c:pt>
              </c:numCache>
            </c:numRef>
          </c:xVal>
          <c:yVal>
            <c:numRef>
              <c:f>'Mass vs Radius'!$B$2:$B$113</c:f>
              <c:numCache>
                <c:formatCode>General</c:formatCode>
                <c:ptCount val="112"/>
                <c:pt idx="0">
                  <c:v>1.2</c:v>
                </c:pt>
                <c:pt idx="1">
                  <c:v>1.04</c:v>
                </c:pt>
                <c:pt idx="2">
                  <c:v>0.23508000000000001</c:v>
                </c:pt>
                <c:pt idx="3">
                  <c:v>1.145</c:v>
                </c:pt>
                <c:pt idx="4">
                  <c:v>1.5149999999999999</c:v>
                </c:pt>
                <c:pt idx="5">
                  <c:v>1.0660000000000001</c:v>
                </c:pt>
                <c:pt idx="6">
                  <c:v>1.095</c:v>
                </c:pt>
                <c:pt idx="7">
                  <c:v>1.0509999999999999</c:v>
                </c:pt>
                <c:pt idx="8">
                  <c:v>1.069</c:v>
                </c:pt>
                <c:pt idx="9">
                  <c:v>1.415</c:v>
                </c:pt>
                <c:pt idx="10">
                  <c:v>1.51</c:v>
                </c:pt>
                <c:pt idx="11">
                  <c:v>1.385</c:v>
                </c:pt>
                <c:pt idx="12">
                  <c:v>1.036</c:v>
                </c:pt>
                <c:pt idx="13">
                  <c:v>1.3</c:v>
                </c:pt>
                <c:pt idx="14">
                  <c:v>1.413</c:v>
                </c:pt>
                <c:pt idx="15">
                  <c:v>1.4419999999999999</c:v>
                </c:pt>
                <c:pt idx="16">
                  <c:v>1.2450000000000001</c:v>
                </c:pt>
                <c:pt idx="17">
                  <c:v>1.3169999999999999</c:v>
                </c:pt>
                <c:pt idx="18">
                  <c:v>1.3180000000000001</c:v>
                </c:pt>
                <c:pt idx="19">
                  <c:v>1.9</c:v>
                </c:pt>
                <c:pt idx="20">
                  <c:v>1.552</c:v>
                </c:pt>
                <c:pt idx="21">
                  <c:v>1.792</c:v>
                </c:pt>
                <c:pt idx="22">
                  <c:v>1.65</c:v>
                </c:pt>
                <c:pt idx="23">
                  <c:v>1.288</c:v>
                </c:pt>
                <c:pt idx="24">
                  <c:v>0.77700000000000002</c:v>
                </c:pt>
                <c:pt idx="25">
                  <c:v>1.24</c:v>
                </c:pt>
                <c:pt idx="26">
                  <c:v>1.4</c:v>
                </c:pt>
                <c:pt idx="27">
                  <c:v>1.865</c:v>
                </c:pt>
                <c:pt idx="28">
                  <c:v>1.2150000000000001</c:v>
                </c:pt>
                <c:pt idx="29">
                  <c:v>1.21</c:v>
                </c:pt>
                <c:pt idx="30">
                  <c:v>1.0389999999999999</c:v>
                </c:pt>
                <c:pt idx="31">
                  <c:v>0.89</c:v>
                </c:pt>
                <c:pt idx="32">
                  <c:v>0.93</c:v>
                </c:pt>
                <c:pt idx="33">
                  <c:v>1.18</c:v>
                </c:pt>
                <c:pt idx="34">
                  <c:v>1.4430000000000001</c:v>
                </c:pt>
                <c:pt idx="35">
                  <c:v>1.327</c:v>
                </c:pt>
                <c:pt idx="36">
                  <c:v>1.4430000000000001</c:v>
                </c:pt>
                <c:pt idx="37">
                  <c:v>1.7</c:v>
                </c:pt>
                <c:pt idx="38">
                  <c:v>1.1910000000000001</c:v>
                </c:pt>
                <c:pt idx="39">
                  <c:v>1.86</c:v>
                </c:pt>
                <c:pt idx="40">
                  <c:v>0.9</c:v>
                </c:pt>
                <c:pt idx="41">
                  <c:v>1.609</c:v>
                </c:pt>
                <c:pt idx="42">
                  <c:v>1.236</c:v>
                </c:pt>
                <c:pt idx="43">
                  <c:v>1.0089999999999999</c:v>
                </c:pt>
                <c:pt idx="44">
                  <c:v>1.19</c:v>
                </c:pt>
                <c:pt idx="45">
                  <c:v>1.399</c:v>
                </c:pt>
                <c:pt idx="46">
                  <c:v>1.1990000000000001</c:v>
                </c:pt>
                <c:pt idx="47">
                  <c:v>1.33</c:v>
                </c:pt>
                <c:pt idx="48">
                  <c:v>1.24</c:v>
                </c:pt>
                <c:pt idx="49">
                  <c:v>1.1919999999999999</c:v>
                </c:pt>
                <c:pt idx="50">
                  <c:v>1.1639999999999999</c:v>
                </c:pt>
                <c:pt idx="51">
                  <c:v>1.1819999999999999</c:v>
                </c:pt>
                <c:pt idx="52">
                  <c:v>1.0389999999999999</c:v>
                </c:pt>
                <c:pt idx="53">
                  <c:v>0.998</c:v>
                </c:pt>
                <c:pt idx="54">
                  <c:v>0.874</c:v>
                </c:pt>
                <c:pt idx="55">
                  <c:v>1.212</c:v>
                </c:pt>
                <c:pt idx="56">
                  <c:v>0.96899999999999997</c:v>
                </c:pt>
                <c:pt idx="57">
                  <c:v>1.238</c:v>
                </c:pt>
                <c:pt idx="58">
                  <c:v>1.9</c:v>
                </c:pt>
                <c:pt idx="59">
                  <c:v>1.1499999999999999</c:v>
                </c:pt>
                <c:pt idx="60">
                  <c:v>0.90100000000000002</c:v>
                </c:pt>
                <c:pt idx="61">
                  <c:v>1.034</c:v>
                </c:pt>
                <c:pt idx="62">
                  <c:v>0.81699999999999995</c:v>
                </c:pt>
                <c:pt idx="63">
                  <c:v>1.0900000000000001</c:v>
                </c:pt>
                <c:pt idx="64">
                  <c:v>1.2929999999999999</c:v>
                </c:pt>
                <c:pt idx="65">
                  <c:v>1.04</c:v>
                </c:pt>
                <c:pt idx="66">
                  <c:v>1.23</c:v>
                </c:pt>
                <c:pt idx="67">
                  <c:v>0.76200000000000001</c:v>
                </c:pt>
                <c:pt idx="68">
                  <c:v>1.0569999999999999</c:v>
                </c:pt>
                <c:pt idx="69">
                  <c:v>0.91988999999999999</c:v>
                </c:pt>
                <c:pt idx="70">
                  <c:v>0.97799999999999998</c:v>
                </c:pt>
                <c:pt idx="71">
                  <c:v>0.57189999999999996</c:v>
                </c:pt>
                <c:pt idx="72">
                  <c:v>0.85</c:v>
                </c:pt>
                <c:pt idx="73">
                  <c:v>0.873</c:v>
                </c:pt>
                <c:pt idx="74">
                  <c:v>0.34300000000000003</c:v>
                </c:pt>
                <c:pt idx="75">
                  <c:v>0.4128</c:v>
                </c:pt>
                <c:pt idx="76">
                  <c:v>0.23</c:v>
                </c:pt>
                <c:pt idx="77">
                  <c:v>0.58099999999999996</c:v>
                </c:pt>
                <c:pt idx="78">
                  <c:v>0.59860000000000002</c:v>
                </c:pt>
                <c:pt idx="79">
                  <c:v>0.50299000000000005</c:v>
                </c:pt>
                <c:pt idx="80">
                  <c:v>0.70750000000000002</c:v>
                </c:pt>
                <c:pt idx="81">
                  <c:v>0.215</c:v>
                </c:pt>
                <c:pt idx="82">
                  <c:v>0.24399999999999999</c:v>
                </c:pt>
                <c:pt idx="83">
                  <c:v>0.22600000000000001</c:v>
                </c:pt>
                <c:pt idx="84">
                  <c:v>0.29399999999999998</c:v>
                </c:pt>
                <c:pt idx="85">
                  <c:v>0.25489000000000001</c:v>
                </c:pt>
                <c:pt idx="86">
                  <c:v>0.22800000000000001</c:v>
                </c:pt>
                <c:pt idx="87">
                  <c:v>0.24124000000000001</c:v>
                </c:pt>
                <c:pt idx="88">
                  <c:v>0.21229999999999999</c:v>
                </c:pt>
                <c:pt idx="89">
                  <c:v>0.17904999999999999</c:v>
                </c:pt>
                <c:pt idx="90">
                  <c:v>0.26100000000000001</c:v>
                </c:pt>
                <c:pt idx="91">
                  <c:v>0.22366</c:v>
                </c:pt>
                <c:pt idx="92">
                  <c:v>7.4999999999999997E-2</c:v>
                </c:pt>
                <c:pt idx="93">
                  <c:v>0.54564000000000001</c:v>
                </c:pt>
                <c:pt idx="94">
                  <c:v>0.24060999999999999</c:v>
                </c:pt>
                <c:pt idx="95">
                  <c:v>0.11799999999999999</c:v>
                </c:pt>
                <c:pt idx="96">
                  <c:v>0.192</c:v>
                </c:pt>
                <c:pt idx="97">
                  <c:v>0.128</c:v>
                </c:pt>
                <c:pt idx="98">
                  <c:v>0.34472999999999998</c:v>
                </c:pt>
                <c:pt idx="99">
                  <c:v>0.14613000000000001</c:v>
                </c:pt>
                <c:pt idx="100">
                  <c:v>0.2114</c:v>
                </c:pt>
                <c:pt idx="101">
                  <c:v>0.14657999999999999</c:v>
                </c:pt>
                <c:pt idx="102">
                  <c:v>0.23899999999999999</c:v>
                </c:pt>
                <c:pt idx="103">
                  <c:v>0.12623999999999999</c:v>
                </c:pt>
                <c:pt idx="104">
                  <c:v>0.16166</c:v>
                </c:pt>
                <c:pt idx="105">
                  <c:v>0.23080000000000001</c:v>
                </c:pt>
                <c:pt idx="106">
                  <c:v>5.1999999999999998E-2</c:v>
                </c:pt>
                <c:pt idx="107">
                  <c:v>7.5999999999999998E-2</c:v>
                </c:pt>
                <c:pt idx="108">
                  <c:v>0.1008</c:v>
                </c:pt>
                <c:pt idx="109">
                  <c:v>9.7199999999999995E-2</c:v>
                </c:pt>
                <c:pt idx="110">
                  <c:v>0.108</c:v>
                </c:pt>
                <c:pt idx="111">
                  <c:v>6.3E-2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EF-439A-A07C-2B4213505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237567"/>
        <c:axId val="1031236735"/>
      </c:scatterChart>
      <c:valAx>
        <c:axId val="10312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6735"/>
        <c:crosses val="autoZero"/>
        <c:crossBetween val="midCat"/>
      </c:valAx>
      <c:valAx>
        <c:axId val="1031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Radius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Planets by Planet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'Planet Status'!$A$2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'Planet Status'!$A$2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'Planet Status'!$B$2</c:f>
              <c:numCache>
                <c:formatCode>General</c:formatCode>
                <c:ptCount val="1"/>
                <c:pt idx="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E-4CBB-AF87-6185342CF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239231"/>
        <c:axId val="1031244639"/>
      </c:barChart>
      <c:catAx>
        <c:axId val="1031239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44639"/>
        <c:crosses val="autoZero"/>
        <c:auto val="1"/>
        <c:lblAlgn val="ctr"/>
        <c:lblOffset val="100"/>
        <c:noMultiLvlLbl val="0"/>
      </c:catAx>
      <c:valAx>
        <c:axId val="10312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Plantes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Planets by Mass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Mass'!$B$1</c:f>
              <c:strCache>
                <c:ptCount val="1"/>
                <c:pt idx="0">
                  <c:v>Mass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Mass'!$A$2:$A$11</c:f>
              <c:strCache>
                <c:ptCount val="10"/>
                <c:pt idx="0">
                  <c:v>beta Pic c</c:v>
                </c:pt>
                <c:pt idx="1">
                  <c:v>WASP-89 b</c:v>
                </c:pt>
                <c:pt idx="2">
                  <c:v>Kepler-104 Ad</c:v>
                </c:pt>
                <c:pt idx="3">
                  <c:v>Kepler-432 b</c:v>
                </c:pt>
                <c:pt idx="4">
                  <c:v>WASP-120 Ab</c:v>
                </c:pt>
                <c:pt idx="5">
                  <c:v>Kepler-1704 b</c:v>
                </c:pt>
                <c:pt idx="6">
                  <c:v>HD 17156 b</c:v>
                </c:pt>
                <c:pt idx="7">
                  <c:v>K2-267 Ab</c:v>
                </c:pt>
                <c:pt idx="8">
                  <c:v>TOI-5110 b</c:v>
                </c:pt>
                <c:pt idx="9">
                  <c:v>KELT-16 Ab</c:v>
                </c:pt>
              </c:strCache>
            </c:strRef>
          </c:cat>
          <c:val>
            <c:numRef>
              <c:f>'Top 10 Mass'!$B$2:$B$11</c:f>
              <c:numCache>
                <c:formatCode>General</c:formatCode>
                <c:ptCount val="10"/>
                <c:pt idx="0">
                  <c:v>8.89</c:v>
                </c:pt>
                <c:pt idx="1">
                  <c:v>5.9</c:v>
                </c:pt>
                <c:pt idx="2">
                  <c:v>5.54</c:v>
                </c:pt>
                <c:pt idx="3">
                  <c:v>5.41</c:v>
                </c:pt>
                <c:pt idx="4">
                  <c:v>5.0599999999999996</c:v>
                </c:pt>
                <c:pt idx="5">
                  <c:v>4.16</c:v>
                </c:pt>
                <c:pt idx="6">
                  <c:v>3.1949999999999998</c:v>
                </c:pt>
                <c:pt idx="7">
                  <c:v>3</c:v>
                </c:pt>
                <c:pt idx="8">
                  <c:v>2.9</c:v>
                </c:pt>
                <c:pt idx="9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3-449C-A9D2-199DFC657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217423"/>
        <c:axId val="1032209519"/>
      </c:barChart>
      <c:catAx>
        <c:axId val="103221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09519"/>
        <c:crosses val="autoZero"/>
        <c:auto val="1"/>
        <c:lblAlgn val="ctr"/>
        <c:lblOffset val="100"/>
        <c:noMultiLvlLbl val="0"/>
      </c:catAx>
      <c:valAx>
        <c:axId val="10322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1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Planet Mass and Radius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vs Radius'!$B$1</c:f>
              <c:strCache>
                <c:ptCount val="1"/>
                <c:pt idx="0">
                  <c:v>radius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'Mass vs Radius'!$A$2:$A$113</c:f>
              <c:numCache>
                <c:formatCode>General</c:formatCode>
                <c:ptCount val="112"/>
                <c:pt idx="0">
                  <c:v>8.89</c:v>
                </c:pt>
                <c:pt idx="1">
                  <c:v>5.9</c:v>
                </c:pt>
                <c:pt idx="2">
                  <c:v>5.54</c:v>
                </c:pt>
                <c:pt idx="3">
                  <c:v>5.41</c:v>
                </c:pt>
                <c:pt idx="4">
                  <c:v>5.0599999999999996</c:v>
                </c:pt>
                <c:pt idx="5">
                  <c:v>4.16</c:v>
                </c:pt>
                <c:pt idx="6">
                  <c:v>3.1949999999999998</c:v>
                </c:pt>
                <c:pt idx="7">
                  <c:v>3</c:v>
                </c:pt>
                <c:pt idx="8">
                  <c:v>2.9</c:v>
                </c:pt>
                <c:pt idx="9">
                  <c:v>2.75</c:v>
                </c:pt>
                <c:pt idx="10">
                  <c:v>2.31</c:v>
                </c:pt>
                <c:pt idx="11">
                  <c:v>2.21</c:v>
                </c:pt>
                <c:pt idx="12">
                  <c:v>2.052</c:v>
                </c:pt>
                <c:pt idx="13">
                  <c:v>1.9</c:v>
                </c:pt>
                <c:pt idx="14">
                  <c:v>1.85</c:v>
                </c:pt>
                <c:pt idx="15">
                  <c:v>1.85</c:v>
                </c:pt>
                <c:pt idx="16">
                  <c:v>1.78</c:v>
                </c:pt>
                <c:pt idx="17">
                  <c:v>1.6160000000000001</c:v>
                </c:pt>
                <c:pt idx="18">
                  <c:v>1.4870000000000001</c:v>
                </c:pt>
                <c:pt idx="19">
                  <c:v>1.47</c:v>
                </c:pt>
                <c:pt idx="20">
                  <c:v>1.42</c:v>
                </c:pt>
                <c:pt idx="21">
                  <c:v>1.401</c:v>
                </c:pt>
                <c:pt idx="22">
                  <c:v>1.37</c:v>
                </c:pt>
                <c:pt idx="23">
                  <c:v>1.36</c:v>
                </c:pt>
                <c:pt idx="24">
                  <c:v>1.3380000000000001</c:v>
                </c:pt>
                <c:pt idx="25">
                  <c:v>1.2649999999999999</c:v>
                </c:pt>
                <c:pt idx="26">
                  <c:v>1.23</c:v>
                </c:pt>
                <c:pt idx="27">
                  <c:v>1.1839999999999999</c:v>
                </c:pt>
                <c:pt idx="28">
                  <c:v>1.167</c:v>
                </c:pt>
                <c:pt idx="29">
                  <c:v>1.1599999999999999</c:v>
                </c:pt>
                <c:pt idx="30">
                  <c:v>1.071</c:v>
                </c:pt>
                <c:pt idx="31">
                  <c:v>1.03</c:v>
                </c:pt>
                <c:pt idx="32">
                  <c:v>1</c:v>
                </c:pt>
                <c:pt idx="33">
                  <c:v>0.94</c:v>
                </c:pt>
                <c:pt idx="34">
                  <c:v>0.92</c:v>
                </c:pt>
                <c:pt idx="35">
                  <c:v>0.92</c:v>
                </c:pt>
                <c:pt idx="36">
                  <c:v>0.91</c:v>
                </c:pt>
                <c:pt idx="37">
                  <c:v>0.9</c:v>
                </c:pt>
                <c:pt idx="38">
                  <c:v>0.88</c:v>
                </c:pt>
                <c:pt idx="39">
                  <c:v>0.874</c:v>
                </c:pt>
                <c:pt idx="40">
                  <c:v>0.85</c:v>
                </c:pt>
                <c:pt idx="41">
                  <c:v>0.85</c:v>
                </c:pt>
                <c:pt idx="42">
                  <c:v>0.83899999999999997</c:v>
                </c:pt>
                <c:pt idx="43">
                  <c:v>0.81899999999999995</c:v>
                </c:pt>
                <c:pt idx="44">
                  <c:v>0.73</c:v>
                </c:pt>
                <c:pt idx="45">
                  <c:v>0.67900000000000005</c:v>
                </c:pt>
                <c:pt idx="46">
                  <c:v>0.61699999999999999</c:v>
                </c:pt>
                <c:pt idx="47">
                  <c:v>0.61</c:v>
                </c:pt>
                <c:pt idx="48">
                  <c:v>0.6</c:v>
                </c:pt>
                <c:pt idx="49">
                  <c:v>0.59499999999999997</c:v>
                </c:pt>
                <c:pt idx="50">
                  <c:v>0.59</c:v>
                </c:pt>
                <c:pt idx="51">
                  <c:v>0.58199999999999996</c:v>
                </c:pt>
                <c:pt idx="52">
                  <c:v>0.57899999999999996</c:v>
                </c:pt>
                <c:pt idx="53">
                  <c:v>0.57599999999999996</c:v>
                </c:pt>
                <c:pt idx="54">
                  <c:v>0.56999999999999995</c:v>
                </c:pt>
                <c:pt idx="55">
                  <c:v>0.54300000000000004</c:v>
                </c:pt>
                <c:pt idx="56">
                  <c:v>0.52600000000000002</c:v>
                </c:pt>
                <c:pt idx="57">
                  <c:v>0.51500000000000001</c:v>
                </c:pt>
                <c:pt idx="58">
                  <c:v>0.47</c:v>
                </c:pt>
                <c:pt idx="59">
                  <c:v>0.43</c:v>
                </c:pt>
                <c:pt idx="60">
                  <c:v>0.42799999999999999</c:v>
                </c:pt>
                <c:pt idx="61">
                  <c:v>0.42</c:v>
                </c:pt>
                <c:pt idx="62">
                  <c:v>0.39500000000000002</c:v>
                </c:pt>
                <c:pt idx="63">
                  <c:v>0.34</c:v>
                </c:pt>
                <c:pt idx="64">
                  <c:v>0.309</c:v>
                </c:pt>
                <c:pt idx="65">
                  <c:v>0.3</c:v>
                </c:pt>
                <c:pt idx="66">
                  <c:v>0.28999999999999998</c:v>
                </c:pt>
                <c:pt idx="67">
                  <c:v>0.28000000000000003</c:v>
                </c:pt>
                <c:pt idx="68">
                  <c:v>0.26</c:v>
                </c:pt>
                <c:pt idx="69">
                  <c:v>0.25045610000000001</c:v>
                </c:pt>
                <c:pt idx="70">
                  <c:v>0.25</c:v>
                </c:pt>
                <c:pt idx="71">
                  <c:v>0.247</c:v>
                </c:pt>
                <c:pt idx="72">
                  <c:v>0.223</c:v>
                </c:pt>
                <c:pt idx="73">
                  <c:v>0.13800000000000001</c:v>
                </c:pt>
                <c:pt idx="74">
                  <c:v>8.4949999999999998E-2</c:v>
                </c:pt>
                <c:pt idx="75">
                  <c:v>7.5804999999999997E-2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6.9000000000000006E-2</c:v>
                </c:pt>
                <c:pt idx="79">
                  <c:v>5.978E-2</c:v>
                </c:pt>
                <c:pt idx="80">
                  <c:v>5.16E-2</c:v>
                </c:pt>
                <c:pt idx="81">
                  <c:v>5.0999999999999997E-2</c:v>
                </c:pt>
                <c:pt idx="82">
                  <c:v>4.4990000000000002E-2</c:v>
                </c:pt>
                <c:pt idx="83">
                  <c:v>3.7199999999999997E-2</c:v>
                </c:pt>
                <c:pt idx="84">
                  <c:v>3.5499999999999997E-2</c:v>
                </c:pt>
                <c:pt idx="85">
                  <c:v>3.5299999999999998E-2</c:v>
                </c:pt>
                <c:pt idx="86">
                  <c:v>3.5000000000000003E-2</c:v>
                </c:pt>
                <c:pt idx="87">
                  <c:v>3.4013000000000002E-2</c:v>
                </c:pt>
                <c:pt idx="88">
                  <c:v>3.1314000000000002E-2</c:v>
                </c:pt>
                <c:pt idx="89">
                  <c:v>2.9963E-2</c:v>
                </c:pt>
                <c:pt idx="90">
                  <c:v>2.8000000000000001E-2</c:v>
                </c:pt>
                <c:pt idx="91">
                  <c:v>2.725E-2</c:v>
                </c:pt>
                <c:pt idx="92">
                  <c:v>2.5999999999999999E-2</c:v>
                </c:pt>
                <c:pt idx="93">
                  <c:v>2.5466200000000001E-2</c:v>
                </c:pt>
                <c:pt idx="94">
                  <c:v>2.4899999999999999E-2</c:v>
                </c:pt>
                <c:pt idx="95">
                  <c:v>2.3E-2</c:v>
                </c:pt>
                <c:pt idx="96">
                  <c:v>2.3E-2</c:v>
                </c:pt>
                <c:pt idx="97">
                  <c:v>0.02</c:v>
                </c:pt>
                <c:pt idx="98">
                  <c:v>1.9528E-2</c:v>
                </c:pt>
                <c:pt idx="99">
                  <c:v>1.8114999999999999E-2</c:v>
                </c:pt>
                <c:pt idx="100">
                  <c:v>1.7000000000000001E-2</c:v>
                </c:pt>
                <c:pt idx="101">
                  <c:v>1.472E-2</c:v>
                </c:pt>
                <c:pt idx="102">
                  <c:v>1.2999999999999999E-2</c:v>
                </c:pt>
                <c:pt idx="103">
                  <c:v>1.2460000000000001E-2</c:v>
                </c:pt>
                <c:pt idx="104">
                  <c:v>1.19971E-2</c:v>
                </c:pt>
                <c:pt idx="105">
                  <c:v>1.0997E-2</c:v>
                </c:pt>
                <c:pt idx="106">
                  <c:v>9.4400000000000005E-3</c:v>
                </c:pt>
                <c:pt idx="107">
                  <c:v>8.9999999999999993E-3</c:v>
                </c:pt>
                <c:pt idx="108">
                  <c:v>7.0200000000000002E-3</c:v>
                </c:pt>
                <c:pt idx="109">
                  <c:v>4.15E-3</c:v>
                </c:pt>
                <c:pt idx="110">
                  <c:v>2.0100000000000001E-3</c:v>
                </c:pt>
                <c:pt idx="111">
                  <c:v>9.1E-4</c:v>
                </c:pt>
              </c:numCache>
            </c:numRef>
          </c:xVal>
          <c:yVal>
            <c:numRef>
              <c:f>'Mass vs Radius'!$B$2:$B$113</c:f>
              <c:numCache>
                <c:formatCode>General</c:formatCode>
                <c:ptCount val="112"/>
                <c:pt idx="0">
                  <c:v>1.2</c:v>
                </c:pt>
                <c:pt idx="1">
                  <c:v>1.04</c:v>
                </c:pt>
                <c:pt idx="2">
                  <c:v>0.23508000000000001</c:v>
                </c:pt>
                <c:pt idx="3">
                  <c:v>1.145</c:v>
                </c:pt>
                <c:pt idx="4">
                  <c:v>1.5149999999999999</c:v>
                </c:pt>
                <c:pt idx="5">
                  <c:v>1.0660000000000001</c:v>
                </c:pt>
                <c:pt idx="6">
                  <c:v>1.095</c:v>
                </c:pt>
                <c:pt idx="7">
                  <c:v>1.0509999999999999</c:v>
                </c:pt>
                <c:pt idx="8">
                  <c:v>1.069</c:v>
                </c:pt>
                <c:pt idx="9">
                  <c:v>1.415</c:v>
                </c:pt>
                <c:pt idx="10">
                  <c:v>1.51</c:v>
                </c:pt>
                <c:pt idx="11">
                  <c:v>1.385</c:v>
                </c:pt>
                <c:pt idx="12">
                  <c:v>1.036</c:v>
                </c:pt>
                <c:pt idx="13">
                  <c:v>1.3</c:v>
                </c:pt>
                <c:pt idx="14">
                  <c:v>1.413</c:v>
                </c:pt>
                <c:pt idx="15">
                  <c:v>1.4419999999999999</c:v>
                </c:pt>
                <c:pt idx="16">
                  <c:v>1.2450000000000001</c:v>
                </c:pt>
                <c:pt idx="17">
                  <c:v>1.3169999999999999</c:v>
                </c:pt>
                <c:pt idx="18">
                  <c:v>1.3180000000000001</c:v>
                </c:pt>
                <c:pt idx="19">
                  <c:v>1.9</c:v>
                </c:pt>
                <c:pt idx="20">
                  <c:v>1.552</c:v>
                </c:pt>
                <c:pt idx="21">
                  <c:v>1.792</c:v>
                </c:pt>
                <c:pt idx="22">
                  <c:v>1.65</c:v>
                </c:pt>
                <c:pt idx="23">
                  <c:v>1.288</c:v>
                </c:pt>
                <c:pt idx="24">
                  <c:v>0.77700000000000002</c:v>
                </c:pt>
                <c:pt idx="25">
                  <c:v>1.24</c:v>
                </c:pt>
                <c:pt idx="26">
                  <c:v>1.4</c:v>
                </c:pt>
                <c:pt idx="27">
                  <c:v>1.865</c:v>
                </c:pt>
                <c:pt idx="28">
                  <c:v>1.2150000000000001</c:v>
                </c:pt>
                <c:pt idx="29">
                  <c:v>1.21</c:v>
                </c:pt>
                <c:pt idx="30">
                  <c:v>1.0389999999999999</c:v>
                </c:pt>
                <c:pt idx="31">
                  <c:v>0.89</c:v>
                </c:pt>
                <c:pt idx="32">
                  <c:v>0.93</c:v>
                </c:pt>
                <c:pt idx="33">
                  <c:v>1.18</c:v>
                </c:pt>
                <c:pt idx="34">
                  <c:v>1.4430000000000001</c:v>
                </c:pt>
                <c:pt idx="35">
                  <c:v>1.327</c:v>
                </c:pt>
                <c:pt idx="36">
                  <c:v>1.4430000000000001</c:v>
                </c:pt>
                <c:pt idx="37">
                  <c:v>1.7</c:v>
                </c:pt>
                <c:pt idx="38">
                  <c:v>1.1910000000000001</c:v>
                </c:pt>
                <c:pt idx="39">
                  <c:v>1.86</c:v>
                </c:pt>
                <c:pt idx="40">
                  <c:v>0.9</c:v>
                </c:pt>
                <c:pt idx="41">
                  <c:v>1.609</c:v>
                </c:pt>
                <c:pt idx="42">
                  <c:v>1.236</c:v>
                </c:pt>
                <c:pt idx="43">
                  <c:v>1.0089999999999999</c:v>
                </c:pt>
                <c:pt idx="44">
                  <c:v>1.19</c:v>
                </c:pt>
                <c:pt idx="45">
                  <c:v>1.399</c:v>
                </c:pt>
                <c:pt idx="46">
                  <c:v>1.1990000000000001</c:v>
                </c:pt>
                <c:pt idx="47">
                  <c:v>1.33</c:v>
                </c:pt>
                <c:pt idx="48">
                  <c:v>1.24</c:v>
                </c:pt>
                <c:pt idx="49">
                  <c:v>1.1919999999999999</c:v>
                </c:pt>
                <c:pt idx="50">
                  <c:v>1.1639999999999999</c:v>
                </c:pt>
                <c:pt idx="51">
                  <c:v>1.1819999999999999</c:v>
                </c:pt>
                <c:pt idx="52">
                  <c:v>1.0389999999999999</c:v>
                </c:pt>
                <c:pt idx="53">
                  <c:v>0.998</c:v>
                </c:pt>
                <c:pt idx="54">
                  <c:v>0.874</c:v>
                </c:pt>
                <c:pt idx="55">
                  <c:v>1.212</c:v>
                </c:pt>
                <c:pt idx="56">
                  <c:v>0.96899999999999997</c:v>
                </c:pt>
                <c:pt idx="57">
                  <c:v>1.238</c:v>
                </c:pt>
                <c:pt idx="58">
                  <c:v>1.9</c:v>
                </c:pt>
                <c:pt idx="59">
                  <c:v>1.1499999999999999</c:v>
                </c:pt>
                <c:pt idx="60">
                  <c:v>0.90100000000000002</c:v>
                </c:pt>
                <c:pt idx="61">
                  <c:v>1.034</c:v>
                </c:pt>
                <c:pt idx="62">
                  <c:v>0.81699999999999995</c:v>
                </c:pt>
                <c:pt idx="63">
                  <c:v>1.0900000000000001</c:v>
                </c:pt>
                <c:pt idx="64">
                  <c:v>1.2929999999999999</c:v>
                </c:pt>
                <c:pt idx="65">
                  <c:v>1.04</c:v>
                </c:pt>
                <c:pt idx="66">
                  <c:v>1.23</c:v>
                </c:pt>
                <c:pt idx="67">
                  <c:v>0.76200000000000001</c:v>
                </c:pt>
                <c:pt idx="68">
                  <c:v>1.0569999999999999</c:v>
                </c:pt>
                <c:pt idx="69">
                  <c:v>0.91988999999999999</c:v>
                </c:pt>
                <c:pt idx="70">
                  <c:v>0.97799999999999998</c:v>
                </c:pt>
                <c:pt idx="71">
                  <c:v>0.57189999999999996</c:v>
                </c:pt>
                <c:pt idx="72">
                  <c:v>0.85</c:v>
                </c:pt>
                <c:pt idx="73">
                  <c:v>0.873</c:v>
                </c:pt>
                <c:pt idx="74">
                  <c:v>0.34300000000000003</c:v>
                </c:pt>
                <c:pt idx="75">
                  <c:v>0.4128</c:v>
                </c:pt>
                <c:pt idx="76">
                  <c:v>0.23</c:v>
                </c:pt>
                <c:pt idx="77">
                  <c:v>0.58099999999999996</c:v>
                </c:pt>
                <c:pt idx="78">
                  <c:v>0.59860000000000002</c:v>
                </c:pt>
                <c:pt idx="79">
                  <c:v>0.50299000000000005</c:v>
                </c:pt>
                <c:pt idx="80">
                  <c:v>0.70750000000000002</c:v>
                </c:pt>
                <c:pt idx="81">
                  <c:v>0.215</c:v>
                </c:pt>
                <c:pt idx="82">
                  <c:v>0.24399999999999999</c:v>
                </c:pt>
                <c:pt idx="83">
                  <c:v>0.22600000000000001</c:v>
                </c:pt>
                <c:pt idx="84">
                  <c:v>0.29399999999999998</c:v>
                </c:pt>
                <c:pt idx="85">
                  <c:v>0.25489000000000001</c:v>
                </c:pt>
                <c:pt idx="86">
                  <c:v>0.22800000000000001</c:v>
                </c:pt>
                <c:pt idx="87">
                  <c:v>0.24124000000000001</c:v>
                </c:pt>
                <c:pt idx="88">
                  <c:v>0.21229999999999999</c:v>
                </c:pt>
                <c:pt idx="89">
                  <c:v>0.17904999999999999</c:v>
                </c:pt>
                <c:pt idx="90">
                  <c:v>0.26100000000000001</c:v>
                </c:pt>
                <c:pt idx="91">
                  <c:v>0.22366</c:v>
                </c:pt>
                <c:pt idx="92">
                  <c:v>7.4999999999999997E-2</c:v>
                </c:pt>
                <c:pt idx="93">
                  <c:v>0.54564000000000001</c:v>
                </c:pt>
                <c:pt idx="94">
                  <c:v>0.24060999999999999</c:v>
                </c:pt>
                <c:pt idx="95">
                  <c:v>0.11799999999999999</c:v>
                </c:pt>
                <c:pt idx="96">
                  <c:v>0.192</c:v>
                </c:pt>
                <c:pt idx="97">
                  <c:v>0.128</c:v>
                </c:pt>
                <c:pt idx="98">
                  <c:v>0.34472999999999998</c:v>
                </c:pt>
                <c:pt idx="99">
                  <c:v>0.14613000000000001</c:v>
                </c:pt>
                <c:pt idx="100">
                  <c:v>0.2114</c:v>
                </c:pt>
                <c:pt idx="101">
                  <c:v>0.14657999999999999</c:v>
                </c:pt>
                <c:pt idx="102">
                  <c:v>0.23899999999999999</c:v>
                </c:pt>
                <c:pt idx="103">
                  <c:v>0.12623999999999999</c:v>
                </c:pt>
                <c:pt idx="104">
                  <c:v>0.16166</c:v>
                </c:pt>
                <c:pt idx="105">
                  <c:v>0.23080000000000001</c:v>
                </c:pt>
                <c:pt idx="106">
                  <c:v>5.1999999999999998E-2</c:v>
                </c:pt>
                <c:pt idx="107">
                  <c:v>7.5999999999999998E-2</c:v>
                </c:pt>
                <c:pt idx="108">
                  <c:v>0.1008</c:v>
                </c:pt>
                <c:pt idx="109">
                  <c:v>9.7199999999999995E-2</c:v>
                </c:pt>
                <c:pt idx="110">
                  <c:v>0.108</c:v>
                </c:pt>
                <c:pt idx="111">
                  <c:v>6.3E-2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3-473D-A902-E7EE27679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237567"/>
        <c:axId val="1031236735"/>
      </c:scatterChart>
      <c:valAx>
        <c:axId val="10312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6735"/>
        <c:crosses val="autoZero"/>
        <c:crossBetween val="midCat"/>
      </c:valAx>
      <c:valAx>
        <c:axId val="1031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Radius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3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3</xdr:row>
      <xdr:rowOff>9525</xdr:rowOff>
    </xdr:from>
    <xdr:to>
      <xdr:col>6</xdr:col>
      <xdr:colOff>209550</xdr:colOff>
      <xdr:row>17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0</xdr:rowOff>
    </xdr:from>
    <xdr:to>
      <xdr:col>10</xdr:col>
      <xdr:colOff>95250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509587</xdr:colOff>
      <xdr:row>76</xdr:row>
      <xdr:rowOff>104775</xdr:rowOff>
    </xdr:from>
    <xdr:to>
      <xdr:col>10</xdr:col>
      <xdr:colOff>204787</xdr:colOff>
      <xdr:row>90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3</xdr:row>
      <xdr:rowOff>0</xdr:rowOff>
    </xdr:from>
    <xdr:to>
      <xdr:col>15</xdr:col>
      <xdr:colOff>295275</xdr:colOff>
      <xdr:row>14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590550</xdr:colOff>
      <xdr:row>2</xdr:row>
      <xdr:rowOff>161925</xdr:rowOff>
    </xdr:from>
    <xdr:to>
      <xdr:col>24</xdr:col>
      <xdr:colOff>285750</xdr:colOff>
      <xdr:row>14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28575</xdr:colOff>
      <xdr:row>16</xdr:row>
      <xdr:rowOff>123825</xdr:rowOff>
    </xdr:from>
    <xdr:to>
      <xdr:col>20</xdr:col>
      <xdr:colOff>333375</xdr:colOff>
      <xdr:row>31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selection activeCell="I1" sqref="I1:I1048576"/>
    </sheetView>
  </sheetViews>
  <sheetFormatPr defaultRowHeight="15"/>
  <cols>
    <col min="1" max="1" width="20.140625" customWidth="1"/>
    <col min="2" max="2" width="17.28515625" customWidth="1"/>
    <col min="3" max="3" width="8.140625" customWidth="1"/>
    <col min="4" max="4" width="21.7109375" customWidth="1"/>
    <col min="5" max="5" width="17.85546875" customWidth="1"/>
    <col min="6" max="6" width="15" customWidth="1"/>
    <col min="7" max="7" width="21.85546875" customWidth="1"/>
    <col min="8" max="8" width="23.28515625" customWidth="1"/>
    <col min="10" max="10" width="2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11</v>
      </c>
      <c r="C2">
        <v>8.89</v>
      </c>
      <c r="D2">
        <v>0.75</v>
      </c>
      <c r="E2">
        <v>0.75</v>
      </c>
      <c r="F2">
        <v>8.5</v>
      </c>
      <c r="G2">
        <v>0.5</v>
      </c>
      <c r="H2">
        <v>0.5</v>
      </c>
      <c r="I2">
        <v>1.2</v>
      </c>
      <c r="J2">
        <v>0.1</v>
      </c>
    </row>
    <row r="3" spans="1:10">
      <c r="A3" t="s">
        <v>121</v>
      </c>
      <c r="B3" t="s">
        <v>11</v>
      </c>
      <c r="C3">
        <v>5.9</v>
      </c>
      <c r="D3">
        <v>0.4</v>
      </c>
      <c r="E3">
        <v>0.4</v>
      </c>
      <c r="F3">
        <v>5.9</v>
      </c>
      <c r="G3">
        <v>0.4</v>
      </c>
      <c r="H3">
        <v>0.4</v>
      </c>
      <c r="I3">
        <v>1.04</v>
      </c>
      <c r="J3">
        <v>0.04</v>
      </c>
    </row>
    <row r="4" spans="1:10">
      <c r="A4" t="s">
        <v>54</v>
      </c>
      <c r="B4" t="s">
        <v>11</v>
      </c>
      <c r="C4">
        <v>5.54</v>
      </c>
      <c r="D4">
        <v>4.6289999999999996</v>
      </c>
      <c r="E4">
        <v>4.6289999999999996</v>
      </c>
      <c r="F4">
        <v>5.54</v>
      </c>
      <c r="G4">
        <v>4.6280000000000001</v>
      </c>
      <c r="H4">
        <v>4.6280000000000001</v>
      </c>
      <c r="I4">
        <v>0.23508000000000001</v>
      </c>
      <c r="J4">
        <v>1.285E-2</v>
      </c>
    </row>
    <row r="5" spans="1:10">
      <c r="A5" t="s">
        <v>76</v>
      </c>
      <c r="B5" t="s">
        <v>11</v>
      </c>
      <c r="C5">
        <v>5.41</v>
      </c>
      <c r="D5">
        <v>0.18</v>
      </c>
      <c r="E5">
        <v>0.32</v>
      </c>
      <c r="F5">
        <v>5.41</v>
      </c>
      <c r="G5">
        <v>0.3</v>
      </c>
      <c r="H5">
        <v>0.19</v>
      </c>
      <c r="I5">
        <v>1.145</v>
      </c>
      <c r="J5">
        <v>3.9E-2</v>
      </c>
    </row>
    <row r="6" spans="1:10">
      <c r="A6" t="s">
        <v>101</v>
      </c>
      <c r="B6" t="s">
        <v>11</v>
      </c>
      <c r="C6">
        <v>5.0599999999999996</v>
      </c>
      <c r="D6">
        <v>0.27</v>
      </c>
      <c r="E6">
        <v>0.27</v>
      </c>
      <c r="F6">
        <v>5.01</v>
      </c>
      <c r="G6">
        <v>0.26</v>
      </c>
      <c r="H6">
        <v>0.26</v>
      </c>
      <c r="I6">
        <v>1.5149999999999999</v>
      </c>
      <c r="J6">
        <v>8.3000000000000004E-2</v>
      </c>
    </row>
    <row r="7" spans="1:10">
      <c r="A7" t="s">
        <v>59</v>
      </c>
      <c r="B7" t="s">
        <v>11</v>
      </c>
      <c r="C7">
        <v>4.16</v>
      </c>
      <c r="D7">
        <v>0.28999999999999998</v>
      </c>
      <c r="E7">
        <v>0.28000000000000003</v>
      </c>
      <c r="F7">
        <v>4.16</v>
      </c>
      <c r="G7">
        <v>0.28999999999999998</v>
      </c>
      <c r="H7">
        <v>0.28000000000000003</v>
      </c>
      <c r="I7">
        <v>1.0660000000000001</v>
      </c>
      <c r="J7">
        <v>4.2000000000000003E-2</v>
      </c>
    </row>
    <row r="8" spans="1:10">
      <c r="A8" t="s">
        <v>29</v>
      </c>
      <c r="B8" t="s">
        <v>11</v>
      </c>
      <c r="C8">
        <v>3.1949999999999998</v>
      </c>
      <c r="D8">
        <v>3.4000000000000002E-2</v>
      </c>
      <c r="E8">
        <v>3.4000000000000002E-2</v>
      </c>
      <c r="F8">
        <v>3.1909999999999998</v>
      </c>
      <c r="G8">
        <v>3.3000000000000002E-2</v>
      </c>
      <c r="H8">
        <v>3.3000000000000002E-2</v>
      </c>
      <c r="I8">
        <v>1.095</v>
      </c>
      <c r="J8">
        <v>0.02</v>
      </c>
    </row>
    <row r="9" spans="1:10">
      <c r="A9" t="s">
        <v>42</v>
      </c>
      <c r="B9" t="s">
        <v>11</v>
      </c>
      <c r="C9">
        <v>3</v>
      </c>
      <c r="D9">
        <v>1.2</v>
      </c>
      <c r="E9">
        <v>1.1000000000000001</v>
      </c>
      <c r="F9">
        <v>3</v>
      </c>
      <c r="G9">
        <v>1.2</v>
      </c>
      <c r="H9">
        <v>1.1000000000000001</v>
      </c>
      <c r="I9">
        <v>1.0509999999999999</v>
      </c>
      <c r="J9">
        <v>4.3999999999999997E-2</v>
      </c>
    </row>
    <row r="10" spans="1:10">
      <c r="A10" t="s">
        <v>91</v>
      </c>
      <c r="B10" t="s">
        <v>11</v>
      </c>
      <c r="C10">
        <v>2.9</v>
      </c>
      <c r="D10">
        <v>0.13</v>
      </c>
      <c r="E10">
        <v>0.13</v>
      </c>
      <c r="F10">
        <v>2.89</v>
      </c>
      <c r="G10">
        <v>0.13</v>
      </c>
      <c r="H10">
        <v>0.13</v>
      </c>
      <c r="I10">
        <v>1.069</v>
      </c>
      <c r="J10">
        <v>5.1999999999999998E-2</v>
      </c>
    </row>
    <row r="11" spans="1:10">
      <c r="A11" t="s">
        <v>48</v>
      </c>
      <c r="B11" t="s">
        <v>11</v>
      </c>
      <c r="C11">
        <v>2.75</v>
      </c>
      <c r="D11">
        <v>0.15</v>
      </c>
      <c r="E11">
        <v>0.16</v>
      </c>
      <c r="F11">
        <v>2.74</v>
      </c>
      <c r="G11">
        <v>0.15</v>
      </c>
      <c r="H11">
        <v>0.15</v>
      </c>
      <c r="I11">
        <v>1.415</v>
      </c>
      <c r="J11">
        <v>6.7000000000000004E-2</v>
      </c>
    </row>
    <row r="12" spans="1:10">
      <c r="A12" t="s">
        <v>20</v>
      </c>
      <c r="B12" t="s">
        <v>11</v>
      </c>
      <c r="C12">
        <v>2.31</v>
      </c>
      <c r="D12">
        <v>0.44</v>
      </c>
      <c r="E12">
        <v>0.44</v>
      </c>
      <c r="F12">
        <v>2.1800000000000002</v>
      </c>
      <c r="G12">
        <v>0.25</v>
      </c>
      <c r="H12">
        <v>0.25</v>
      </c>
      <c r="I12">
        <v>1.51</v>
      </c>
      <c r="J12">
        <v>0.11</v>
      </c>
    </row>
    <row r="13" spans="1:10">
      <c r="A13" t="s">
        <v>120</v>
      </c>
      <c r="B13" t="s">
        <v>11</v>
      </c>
      <c r="C13">
        <v>2.21</v>
      </c>
      <c r="D13">
        <v>0.16</v>
      </c>
      <c r="E13">
        <v>0.16</v>
      </c>
      <c r="F13">
        <v>2.1800000000000002</v>
      </c>
      <c r="G13">
        <v>0.15</v>
      </c>
      <c r="H13">
        <v>0.15</v>
      </c>
      <c r="I13">
        <v>1.385</v>
      </c>
      <c r="J13">
        <v>0.06</v>
      </c>
    </row>
    <row r="14" spans="1:10">
      <c r="A14" t="s">
        <v>114</v>
      </c>
      <c r="B14" t="s">
        <v>11</v>
      </c>
      <c r="C14">
        <v>2.052</v>
      </c>
      <c r="D14">
        <v>5.2999999999999999E-2</v>
      </c>
      <c r="E14">
        <v>5.2999999999999999E-2</v>
      </c>
      <c r="F14">
        <v>2.0339999999999998</v>
      </c>
      <c r="G14">
        <v>5.1999999999999998E-2</v>
      </c>
      <c r="H14">
        <v>5.1999999999999998E-2</v>
      </c>
      <c r="I14">
        <v>1.036</v>
      </c>
      <c r="J14">
        <v>1.9E-2</v>
      </c>
    </row>
    <row r="15" spans="1:10">
      <c r="A15" t="s">
        <v>110</v>
      </c>
      <c r="B15" t="s">
        <v>11</v>
      </c>
      <c r="C15">
        <v>1.9</v>
      </c>
      <c r="D15">
        <v>0.08</v>
      </c>
      <c r="E15">
        <v>0.08</v>
      </c>
      <c r="F15">
        <v>1.9</v>
      </c>
      <c r="G15">
        <v>0.08</v>
      </c>
      <c r="H15">
        <v>0.08</v>
      </c>
      <c r="I15">
        <v>1.3</v>
      </c>
      <c r="J15">
        <v>0.09</v>
      </c>
    </row>
    <row r="16" spans="1:10">
      <c r="A16" t="s">
        <v>21</v>
      </c>
      <c r="B16" t="s">
        <v>11</v>
      </c>
      <c r="C16">
        <v>1.85</v>
      </c>
      <c r="D16">
        <v>1.85</v>
      </c>
      <c r="E16">
        <v>0</v>
      </c>
      <c r="F16">
        <v>1.85</v>
      </c>
      <c r="G16">
        <v>1.85</v>
      </c>
      <c r="H16">
        <v>0</v>
      </c>
      <c r="I16">
        <v>1.413</v>
      </c>
      <c r="J16">
        <v>5.3999999999999999E-2</v>
      </c>
    </row>
    <row r="17" spans="1:10">
      <c r="A17" t="s">
        <v>98</v>
      </c>
      <c r="B17" t="s">
        <v>11</v>
      </c>
      <c r="C17">
        <v>1.85</v>
      </c>
      <c r="D17">
        <v>0.16</v>
      </c>
      <c r="E17">
        <v>0.16</v>
      </c>
      <c r="F17">
        <v>1.83</v>
      </c>
      <c r="G17">
        <v>0.15</v>
      </c>
      <c r="H17">
        <v>0.15</v>
      </c>
      <c r="I17">
        <v>1.4419999999999999</v>
      </c>
      <c r="J17">
        <v>9.4E-2</v>
      </c>
    </row>
    <row r="18" spans="1:10">
      <c r="A18" t="s">
        <v>45</v>
      </c>
      <c r="B18" t="s">
        <v>11</v>
      </c>
      <c r="C18">
        <v>1.78</v>
      </c>
      <c r="D18">
        <v>0.13</v>
      </c>
      <c r="E18">
        <v>0.13</v>
      </c>
      <c r="F18">
        <v>1.76</v>
      </c>
      <c r="G18">
        <v>0.13</v>
      </c>
      <c r="H18">
        <v>0.13</v>
      </c>
      <c r="I18">
        <v>1.2450000000000001</v>
      </c>
      <c r="J18">
        <v>2.9000000000000001E-2</v>
      </c>
    </row>
    <row r="19" spans="1:10">
      <c r="A19" t="s">
        <v>122</v>
      </c>
      <c r="B19" t="s">
        <v>11</v>
      </c>
      <c r="C19">
        <v>1.6160000000000001</v>
      </c>
      <c r="D19">
        <v>0.1</v>
      </c>
      <c r="E19">
        <v>0.10100000000000001</v>
      </c>
      <c r="F19">
        <v>1.615</v>
      </c>
      <c r="G19">
        <v>0.1</v>
      </c>
      <c r="H19">
        <v>0.1</v>
      </c>
      <c r="I19">
        <v>1.3169999999999999</v>
      </c>
      <c r="J19">
        <v>2.9000000000000001E-2</v>
      </c>
    </row>
    <row r="20" spans="1:10">
      <c r="A20" t="s">
        <v>18</v>
      </c>
      <c r="B20" t="s">
        <v>11</v>
      </c>
      <c r="C20">
        <v>1.4870000000000001</v>
      </c>
      <c r="D20">
        <v>5.8000000000000003E-2</v>
      </c>
      <c r="E20">
        <v>5.8999999999999997E-2</v>
      </c>
      <c r="F20">
        <v>1.484</v>
      </c>
      <c r="G20">
        <v>5.6000000000000001E-2</v>
      </c>
      <c r="H20">
        <v>5.6000000000000001E-2</v>
      </c>
      <c r="I20">
        <v>1.3180000000000001</v>
      </c>
      <c r="J20">
        <v>9.0999999999999998E-2</v>
      </c>
    </row>
    <row r="21" spans="1:10">
      <c r="A21" t="s">
        <v>107</v>
      </c>
      <c r="B21" t="s">
        <v>11</v>
      </c>
      <c r="C21">
        <v>1.47</v>
      </c>
      <c r="D21">
        <v>6.9000000000000006E-2</v>
      </c>
      <c r="E21">
        <v>7.5999999999999998E-2</v>
      </c>
      <c r="F21">
        <v>1.46</v>
      </c>
      <c r="G21">
        <v>6.8000000000000005E-2</v>
      </c>
      <c r="H21">
        <v>7.4999999999999997E-2</v>
      </c>
      <c r="I21">
        <v>1.9</v>
      </c>
      <c r="J21">
        <v>5.5E-2</v>
      </c>
    </row>
    <row r="22" spans="1:10">
      <c r="A22" t="s">
        <v>36</v>
      </c>
      <c r="B22" t="s">
        <v>11</v>
      </c>
      <c r="C22">
        <v>1.42</v>
      </c>
      <c r="D22">
        <v>0.32</v>
      </c>
      <c r="E22">
        <v>0.31</v>
      </c>
      <c r="F22">
        <v>1.42</v>
      </c>
      <c r="G22">
        <v>0.32</v>
      </c>
      <c r="H22">
        <v>0.31</v>
      </c>
      <c r="I22">
        <v>1.552</v>
      </c>
      <c r="J22">
        <v>5.7000000000000002E-2</v>
      </c>
    </row>
    <row r="23" spans="1:10">
      <c r="A23" t="s">
        <v>103</v>
      </c>
      <c r="B23" t="s">
        <v>11</v>
      </c>
      <c r="C23">
        <v>1.401</v>
      </c>
      <c r="D23">
        <v>7.4999999999999997E-2</v>
      </c>
      <c r="E23">
        <v>7.4999999999999997E-2</v>
      </c>
      <c r="F23">
        <v>1.3720000000000001</v>
      </c>
      <c r="G23">
        <v>7.1999999999999995E-2</v>
      </c>
      <c r="H23">
        <v>7.1999999999999995E-2</v>
      </c>
      <c r="I23">
        <v>1.792</v>
      </c>
      <c r="J23">
        <v>6.9000000000000006E-2</v>
      </c>
    </row>
    <row r="24" spans="1:10">
      <c r="A24" t="s">
        <v>77</v>
      </c>
      <c r="B24" t="s">
        <v>11</v>
      </c>
      <c r="C24">
        <v>1.37</v>
      </c>
      <c r="D24">
        <v>0.46</v>
      </c>
      <c r="E24">
        <v>0.48</v>
      </c>
      <c r="F24">
        <v>1.37</v>
      </c>
      <c r="G24">
        <v>0.48</v>
      </c>
      <c r="H24">
        <v>0.48</v>
      </c>
      <c r="I24">
        <v>1.65</v>
      </c>
      <c r="J24">
        <v>0.59</v>
      </c>
    </row>
    <row r="25" spans="1:10">
      <c r="A25" t="s">
        <v>15</v>
      </c>
      <c r="B25" t="s">
        <v>11</v>
      </c>
      <c r="C25">
        <v>1.36</v>
      </c>
      <c r="D25">
        <v>7.4999999999999997E-2</v>
      </c>
      <c r="E25">
        <v>7.4999999999999997E-2</v>
      </c>
      <c r="F25">
        <v>1.35</v>
      </c>
      <c r="G25">
        <v>7.2999999999999995E-2</v>
      </c>
      <c r="H25">
        <v>7.2999999999999995E-2</v>
      </c>
      <c r="I25">
        <v>1.288</v>
      </c>
      <c r="J25">
        <v>6.4000000000000001E-2</v>
      </c>
    </row>
    <row r="26" spans="1:10">
      <c r="A26" t="s">
        <v>26</v>
      </c>
      <c r="B26" t="s">
        <v>11</v>
      </c>
      <c r="C26">
        <v>1.3380000000000001</v>
      </c>
      <c r="D26">
        <v>6.5000000000000002E-2</v>
      </c>
      <c r="E26">
        <v>6.5000000000000002E-2</v>
      </c>
      <c r="F26">
        <v>1.3380000000000001</v>
      </c>
      <c r="G26">
        <v>6.5000000000000002E-2</v>
      </c>
      <c r="H26">
        <v>6.5000000000000002E-2</v>
      </c>
      <c r="I26">
        <v>0.77700000000000002</v>
      </c>
      <c r="J26">
        <v>5.6000000000000001E-2</v>
      </c>
    </row>
    <row r="27" spans="1:10">
      <c r="A27" t="s">
        <v>119</v>
      </c>
      <c r="B27" t="s">
        <v>11</v>
      </c>
      <c r="C27">
        <v>1.2649999999999999</v>
      </c>
      <c r="D27">
        <v>6.5000000000000002E-2</v>
      </c>
      <c r="E27">
        <v>6.5000000000000002E-2</v>
      </c>
      <c r="F27">
        <v>1.2649999999999999</v>
      </c>
      <c r="G27">
        <v>6.5000000000000002E-2</v>
      </c>
      <c r="H27">
        <v>6.5000000000000002E-2</v>
      </c>
      <c r="I27">
        <v>1.24</v>
      </c>
      <c r="J27">
        <v>0.03</v>
      </c>
    </row>
    <row r="28" spans="1:10">
      <c r="A28" t="s">
        <v>100</v>
      </c>
      <c r="B28" t="s">
        <v>11</v>
      </c>
      <c r="C28">
        <v>1.23</v>
      </c>
      <c r="D28">
        <v>0.08</v>
      </c>
      <c r="E28">
        <v>0.09</v>
      </c>
      <c r="F28">
        <v>1.23</v>
      </c>
      <c r="G28">
        <v>0.08</v>
      </c>
      <c r="H28">
        <v>0.08</v>
      </c>
      <c r="I28">
        <v>1.4</v>
      </c>
      <c r="J28">
        <v>0.2</v>
      </c>
    </row>
    <row r="29" spans="1:10">
      <c r="A29" t="s">
        <v>102</v>
      </c>
      <c r="B29" t="s">
        <v>11</v>
      </c>
      <c r="C29">
        <v>1.1839999999999999</v>
      </c>
      <c r="D29">
        <v>6.4000000000000001E-2</v>
      </c>
      <c r="E29">
        <v>6.5000000000000002E-2</v>
      </c>
      <c r="F29">
        <v>1.1830000000000001</v>
      </c>
      <c r="G29">
        <v>6.4000000000000001E-2</v>
      </c>
      <c r="H29">
        <v>6.4000000000000001E-2</v>
      </c>
      <c r="I29">
        <v>1.865</v>
      </c>
      <c r="J29">
        <v>4.3999999999999997E-2</v>
      </c>
    </row>
    <row r="30" spans="1:10">
      <c r="A30" t="s">
        <v>95</v>
      </c>
      <c r="B30" t="s">
        <v>11</v>
      </c>
      <c r="C30">
        <v>1.167</v>
      </c>
      <c r="D30">
        <v>9.0999999999999998E-2</v>
      </c>
      <c r="E30">
        <v>9.1999999999999998E-2</v>
      </c>
      <c r="F30">
        <v>1.167</v>
      </c>
      <c r="G30">
        <v>9.0999999999999998E-2</v>
      </c>
      <c r="H30">
        <v>9.0999999999999998E-2</v>
      </c>
      <c r="I30">
        <v>1.2150000000000001</v>
      </c>
      <c r="J30">
        <v>0.04</v>
      </c>
    </row>
    <row r="31" spans="1:10">
      <c r="A31" t="s">
        <v>109</v>
      </c>
      <c r="B31" t="s">
        <v>11</v>
      </c>
      <c r="C31">
        <v>1.1599999999999999</v>
      </c>
      <c r="D31">
        <v>0.09</v>
      </c>
      <c r="E31">
        <v>0.09</v>
      </c>
      <c r="F31">
        <v>1.1599999999999999</v>
      </c>
      <c r="G31">
        <v>0.09</v>
      </c>
      <c r="H31">
        <v>0.09</v>
      </c>
      <c r="I31">
        <v>1.21</v>
      </c>
      <c r="J31">
        <v>0.05</v>
      </c>
    </row>
    <row r="32" spans="1:10">
      <c r="A32" t="s">
        <v>25</v>
      </c>
      <c r="B32" t="s">
        <v>11</v>
      </c>
      <c r="C32">
        <v>1.071</v>
      </c>
      <c r="D32">
        <v>7.0000000000000007E-2</v>
      </c>
      <c r="E32">
        <v>7.0000000000000007E-2</v>
      </c>
      <c r="F32">
        <v>1.071</v>
      </c>
      <c r="G32">
        <v>7.0000000000000007E-2</v>
      </c>
      <c r="H32">
        <v>7.0000000000000007E-2</v>
      </c>
      <c r="I32">
        <v>1.0389999999999999</v>
      </c>
      <c r="J32">
        <v>2.2000000000000001E-3</v>
      </c>
    </row>
    <row r="33" spans="1:10">
      <c r="A33" t="s">
        <v>72</v>
      </c>
      <c r="B33" t="s">
        <v>11</v>
      </c>
      <c r="C33">
        <v>1.03</v>
      </c>
      <c r="D33">
        <v>0.13</v>
      </c>
      <c r="E33">
        <v>0.13</v>
      </c>
      <c r="F33">
        <v>1.03</v>
      </c>
      <c r="G33">
        <v>0.13</v>
      </c>
      <c r="H33">
        <v>0.13</v>
      </c>
      <c r="I33">
        <v>0.89</v>
      </c>
      <c r="J33">
        <v>0.06</v>
      </c>
    </row>
    <row r="34" spans="1:10">
      <c r="A34" t="s">
        <v>106</v>
      </c>
      <c r="B34" t="s">
        <v>11</v>
      </c>
      <c r="C34">
        <v>1</v>
      </c>
      <c r="D34">
        <v>0.1</v>
      </c>
      <c r="E34">
        <v>0.1</v>
      </c>
      <c r="F34">
        <v>1</v>
      </c>
      <c r="G34">
        <v>0.1</v>
      </c>
      <c r="H34">
        <v>0.1</v>
      </c>
      <c r="I34">
        <v>0.93</v>
      </c>
      <c r="J34">
        <v>0.03</v>
      </c>
    </row>
    <row r="35" spans="1:10">
      <c r="A35" t="s">
        <v>113</v>
      </c>
      <c r="B35" t="s">
        <v>11</v>
      </c>
      <c r="C35">
        <v>0.94</v>
      </c>
      <c r="D35">
        <v>0.05</v>
      </c>
      <c r="E35">
        <v>0.05</v>
      </c>
      <c r="F35">
        <v>0.94</v>
      </c>
      <c r="G35">
        <v>0.05</v>
      </c>
      <c r="H35">
        <v>0.05</v>
      </c>
      <c r="I35">
        <v>1.18</v>
      </c>
      <c r="J35">
        <v>0.03</v>
      </c>
    </row>
    <row r="36" spans="1:10">
      <c r="A36" t="s">
        <v>47</v>
      </c>
      <c r="B36" t="s">
        <v>11</v>
      </c>
      <c r="C36">
        <v>0.92</v>
      </c>
      <c r="D36">
        <v>0.23</v>
      </c>
      <c r="E36">
        <v>0.23</v>
      </c>
      <c r="F36">
        <v>0.91</v>
      </c>
      <c r="G36">
        <v>0.22</v>
      </c>
      <c r="H36">
        <v>0.22</v>
      </c>
      <c r="I36">
        <v>1.4430000000000001</v>
      </c>
      <c r="J36">
        <v>5.7000000000000002E-2</v>
      </c>
    </row>
    <row r="37" spans="1:10">
      <c r="A37" t="s">
        <v>104</v>
      </c>
      <c r="B37" t="s">
        <v>11</v>
      </c>
      <c r="C37">
        <v>0.92</v>
      </c>
      <c r="D37">
        <v>0.05</v>
      </c>
      <c r="E37">
        <v>0.05</v>
      </c>
      <c r="F37">
        <v>0.92</v>
      </c>
      <c r="G37">
        <v>0.05</v>
      </c>
      <c r="H37">
        <v>0.05</v>
      </c>
      <c r="I37">
        <v>1.327</v>
      </c>
      <c r="J37">
        <v>7.3999999999999996E-2</v>
      </c>
    </row>
    <row r="38" spans="1:10">
      <c r="A38" t="s">
        <v>96</v>
      </c>
      <c r="B38" t="s">
        <v>11</v>
      </c>
      <c r="C38">
        <v>0.91</v>
      </c>
      <c r="D38">
        <v>0.13</v>
      </c>
      <c r="E38">
        <v>0.13</v>
      </c>
      <c r="F38">
        <v>0.91</v>
      </c>
      <c r="G38">
        <v>0.13</v>
      </c>
      <c r="H38">
        <v>0.13</v>
      </c>
      <c r="I38">
        <v>1.4430000000000001</v>
      </c>
      <c r="J38">
        <v>5.2999999999999999E-2</v>
      </c>
    </row>
    <row r="39" spans="1:10">
      <c r="A39" t="s">
        <v>49</v>
      </c>
      <c r="B39" t="s">
        <v>11</v>
      </c>
      <c r="C39">
        <v>0.9</v>
      </c>
      <c r="D39">
        <v>0.06</v>
      </c>
      <c r="E39">
        <v>0.06</v>
      </c>
      <c r="F39">
        <v>0.878</v>
      </c>
      <c r="G39">
        <v>6.7000000000000004E-2</v>
      </c>
      <c r="H39">
        <v>7.0000000000000007E-2</v>
      </c>
      <c r="I39">
        <v>1.7</v>
      </c>
      <c r="J39">
        <v>0.05</v>
      </c>
    </row>
    <row r="40" spans="1:10">
      <c r="A40" t="s">
        <v>99</v>
      </c>
      <c r="B40" t="s">
        <v>11</v>
      </c>
      <c r="C40">
        <v>0.88</v>
      </c>
      <c r="D40">
        <v>0.12</v>
      </c>
      <c r="E40">
        <v>0.12</v>
      </c>
      <c r="F40">
        <v>0.88</v>
      </c>
      <c r="G40">
        <v>0.12</v>
      </c>
      <c r="H40">
        <v>0.12</v>
      </c>
      <c r="I40">
        <v>1.1910000000000001</v>
      </c>
      <c r="J40">
        <v>4.9000000000000002E-2</v>
      </c>
    </row>
    <row r="41" spans="1:10">
      <c r="A41" t="s">
        <v>50</v>
      </c>
      <c r="B41" t="s">
        <v>11</v>
      </c>
      <c r="C41">
        <v>0.874</v>
      </c>
      <c r="D41">
        <v>6.7000000000000004E-2</v>
      </c>
      <c r="E41">
        <v>6.8000000000000005E-2</v>
      </c>
      <c r="F41">
        <v>0.86699999999999999</v>
      </c>
      <c r="G41">
        <v>6.5000000000000002E-2</v>
      </c>
      <c r="H41">
        <v>6.5000000000000002E-2</v>
      </c>
      <c r="I41">
        <v>1.86</v>
      </c>
      <c r="J41">
        <v>0.18</v>
      </c>
    </row>
    <row r="42" spans="1:10">
      <c r="A42" t="s">
        <v>14</v>
      </c>
      <c r="B42" t="s">
        <v>11</v>
      </c>
      <c r="C42">
        <v>0.85</v>
      </c>
      <c r="D42">
        <v>0.2</v>
      </c>
      <c r="E42">
        <v>0.2</v>
      </c>
      <c r="F42">
        <v>0.85</v>
      </c>
      <c r="G42">
        <v>0.2</v>
      </c>
      <c r="H42">
        <v>0.2</v>
      </c>
      <c r="I42">
        <v>0.9</v>
      </c>
      <c r="J42">
        <v>0.16</v>
      </c>
    </row>
    <row r="43" spans="1:10">
      <c r="A43" t="s">
        <v>23</v>
      </c>
      <c r="B43" t="s">
        <v>11</v>
      </c>
      <c r="C43">
        <v>0.85</v>
      </c>
      <c r="D43">
        <v>0.12</v>
      </c>
      <c r="E43">
        <v>0.12</v>
      </c>
      <c r="F43">
        <v>0.85</v>
      </c>
      <c r="G43">
        <v>0.12</v>
      </c>
      <c r="H43">
        <v>0.12</v>
      </c>
      <c r="I43">
        <v>1.609</v>
      </c>
      <c r="J43">
        <v>6.4000000000000001E-2</v>
      </c>
    </row>
    <row r="44" spans="1:10">
      <c r="A44" t="s">
        <v>28</v>
      </c>
      <c r="B44" t="s">
        <v>11</v>
      </c>
      <c r="C44">
        <v>0.83899999999999997</v>
      </c>
      <c r="D44">
        <v>0.03</v>
      </c>
      <c r="E44">
        <v>3.2000000000000001E-2</v>
      </c>
      <c r="F44">
        <v>0.83699999999999997</v>
      </c>
      <c r="G44">
        <v>2.9000000000000001E-2</v>
      </c>
      <c r="H44">
        <v>2.9000000000000001E-2</v>
      </c>
      <c r="I44">
        <v>1.236</v>
      </c>
      <c r="J44">
        <v>3.1E-2</v>
      </c>
    </row>
    <row r="45" spans="1:10">
      <c r="A45" t="s">
        <v>17</v>
      </c>
      <c r="B45" t="s">
        <v>11</v>
      </c>
      <c r="C45">
        <v>0.81899999999999995</v>
      </c>
      <c r="D45">
        <v>0.03</v>
      </c>
      <c r="E45">
        <v>0.03</v>
      </c>
      <c r="F45">
        <v>0.81799999999999995</v>
      </c>
      <c r="G45">
        <v>2.9000000000000001E-2</v>
      </c>
      <c r="H45">
        <v>2.9000000000000001E-2</v>
      </c>
      <c r="I45">
        <v>1.0089999999999999</v>
      </c>
      <c r="J45">
        <v>7.1999999999999995E-2</v>
      </c>
    </row>
    <row r="46" spans="1:10">
      <c r="A46" t="s">
        <v>43</v>
      </c>
      <c r="B46" t="s">
        <v>11</v>
      </c>
      <c r="C46">
        <v>0.73</v>
      </c>
      <c r="D46">
        <v>0.04</v>
      </c>
      <c r="E46">
        <v>0.04</v>
      </c>
      <c r="F46">
        <v>0.73</v>
      </c>
      <c r="G46">
        <v>0.04</v>
      </c>
      <c r="H46">
        <v>0.04</v>
      </c>
      <c r="I46">
        <v>1.19</v>
      </c>
      <c r="J46">
        <v>0.02</v>
      </c>
    </row>
    <row r="47" spans="1:10">
      <c r="A47" t="s">
        <v>46</v>
      </c>
      <c r="B47" t="s">
        <v>11</v>
      </c>
      <c r="C47">
        <v>0.67900000000000005</v>
      </c>
      <c r="D47">
        <v>3.9E-2</v>
      </c>
      <c r="E47">
        <v>3.9E-2</v>
      </c>
      <c r="F47">
        <v>0.67900000000000005</v>
      </c>
      <c r="G47">
        <v>3.9E-2</v>
      </c>
      <c r="H47">
        <v>3.9E-2</v>
      </c>
      <c r="I47">
        <v>1.399</v>
      </c>
      <c r="J47">
        <v>4.9000000000000002E-2</v>
      </c>
    </row>
    <row r="48" spans="1:10">
      <c r="A48" t="s">
        <v>112</v>
      </c>
      <c r="B48" t="s">
        <v>11</v>
      </c>
      <c r="C48">
        <v>0.61699999999999999</v>
      </c>
      <c r="D48">
        <v>1.72E-2</v>
      </c>
      <c r="E48">
        <v>3.2000000000000002E-3</v>
      </c>
      <c r="F48">
        <v>0.61699999999999999</v>
      </c>
      <c r="G48">
        <v>1.7000000000000001E-2</v>
      </c>
      <c r="H48">
        <v>2.8E-3</v>
      </c>
      <c r="I48">
        <v>1.1990000000000001</v>
      </c>
      <c r="J48">
        <v>2.7E-2</v>
      </c>
    </row>
    <row r="49" spans="1:10">
      <c r="A49" t="s">
        <v>115</v>
      </c>
      <c r="B49" t="s">
        <v>11</v>
      </c>
      <c r="C49">
        <v>0.61</v>
      </c>
      <c r="D49">
        <v>0.13</v>
      </c>
      <c r="E49">
        <v>0.13</v>
      </c>
      <c r="F49">
        <v>0.56999999999999995</v>
      </c>
      <c r="G49">
        <v>0.04</v>
      </c>
      <c r="H49">
        <v>0.04</v>
      </c>
      <c r="I49">
        <v>1.33</v>
      </c>
      <c r="J49">
        <v>0.13</v>
      </c>
    </row>
    <row r="50" spans="1:10">
      <c r="A50" t="s">
        <v>105</v>
      </c>
      <c r="B50" t="s">
        <v>11</v>
      </c>
      <c r="C50">
        <v>0.6</v>
      </c>
      <c r="D50">
        <v>7.0000000000000007E-2</v>
      </c>
      <c r="E50">
        <v>7.0000000000000007E-2</v>
      </c>
      <c r="F50">
        <v>0.6</v>
      </c>
      <c r="G50">
        <v>7.0000000000000007E-2</v>
      </c>
      <c r="H50">
        <v>7.0000000000000007E-2</v>
      </c>
      <c r="I50">
        <v>1.24</v>
      </c>
      <c r="J50">
        <v>0.03</v>
      </c>
    </row>
    <row r="51" spans="1:10">
      <c r="A51" t="s">
        <v>71</v>
      </c>
      <c r="B51" t="s">
        <v>11</v>
      </c>
      <c r="C51">
        <v>0.59499999999999997</v>
      </c>
      <c r="D51">
        <v>8.1000000000000003E-2</v>
      </c>
      <c r="E51">
        <v>8.1000000000000003E-2</v>
      </c>
      <c r="F51">
        <v>0.59499999999999997</v>
      </c>
      <c r="G51">
        <v>8.1000000000000003E-2</v>
      </c>
      <c r="H51">
        <v>8.1000000000000003E-2</v>
      </c>
      <c r="I51">
        <v>1.1919999999999999</v>
      </c>
      <c r="J51">
        <v>5.1999999999999998E-2</v>
      </c>
    </row>
    <row r="52" spans="1:10">
      <c r="A52" t="s">
        <v>117</v>
      </c>
      <c r="B52" t="s">
        <v>11</v>
      </c>
      <c r="C52">
        <v>0.59</v>
      </c>
      <c r="D52">
        <v>2.1999999999999999E-2</v>
      </c>
      <c r="E52">
        <v>2.3E-2</v>
      </c>
      <c r="F52">
        <v>0.59</v>
      </c>
      <c r="G52">
        <v>2.1999999999999999E-2</v>
      </c>
      <c r="H52">
        <v>2.1999999999999999E-2</v>
      </c>
      <c r="I52">
        <v>1.1639999999999999</v>
      </c>
      <c r="J52">
        <v>7.2999999999999995E-2</v>
      </c>
    </row>
    <row r="53" spans="1:10">
      <c r="A53" t="s">
        <v>19</v>
      </c>
      <c r="B53" t="s">
        <v>11</v>
      </c>
      <c r="C53">
        <v>0.58199999999999996</v>
      </c>
      <c r="D53">
        <v>5.6000000000000001E-2</v>
      </c>
      <c r="E53">
        <v>5.6000000000000001E-2</v>
      </c>
      <c r="F53">
        <v>0.58199999999999996</v>
      </c>
      <c r="G53">
        <v>5.6000000000000001E-2</v>
      </c>
      <c r="H53">
        <v>5.6000000000000001E-2</v>
      </c>
      <c r="I53">
        <v>1.1819999999999999</v>
      </c>
      <c r="J53">
        <v>5.5E-2</v>
      </c>
    </row>
    <row r="54" spans="1:10">
      <c r="A54" t="s">
        <v>44</v>
      </c>
      <c r="B54" t="s">
        <v>11</v>
      </c>
      <c r="C54">
        <v>0.57899999999999996</v>
      </c>
      <c r="D54">
        <v>2.7E-2</v>
      </c>
      <c r="E54">
        <v>2.8000000000000001E-2</v>
      </c>
      <c r="F54">
        <v>0.623</v>
      </c>
      <c r="G54">
        <v>3.1E-2</v>
      </c>
      <c r="H54">
        <v>3.1E-2</v>
      </c>
      <c r="I54">
        <v>1.0389999999999999</v>
      </c>
      <c r="J54">
        <v>5.0999999999999997E-2</v>
      </c>
    </row>
    <row r="55" spans="1:10">
      <c r="A55" t="s">
        <v>111</v>
      </c>
      <c r="B55" t="s">
        <v>11</v>
      </c>
      <c r="C55">
        <v>0.57599999999999996</v>
      </c>
      <c r="D55">
        <v>9.4E-2</v>
      </c>
      <c r="E55">
        <v>9.4E-2</v>
      </c>
      <c r="F55">
        <v>0.57399999999999995</v>
      </c>
      <c r="G55">
        <v>9.2999999999999999E-2</v>
      </c>
      <c r="H55">
        <v>9.2999999999999999E-2</v>
      </c>
      <c r="I55">
        <v>0.998</v>
      </c>
      <c r="J55">
        <v>2.5000000000000001E-2</v>
      </c>
    </row>
    <row r="56" spans="1:10">
      <c r="A56" t="s">
        <v>80</v>
      </c>
      <c r="B56" t="s">
        <v>11</v>
      </c>
      <c r="C56">
        <v>0.56999999999999995</v>
      </c>
      <c r="D56">
        <v>0.06</v>
      </c>
      <c r="E56">
        <v>6.6000000000000003E-2</v>
      </c>
      <c r="F56">
        <v>0.61399999999999999</v>
      </c>
      <c r="G56">
        <v>4.3999999999999997E-2</v>
      </c>
      <c r="H56">
        <v>4.3999999999999997E-2</v>
      </c>
      <c r="I56">
        <v>0.874</v>
      </c>
      <c r="J56">
        <v>4.1000000000000002E-2</v>
      </c>
    </row>
    <row r="57" spans="1:10">
      <c r="A57" t="s">
        <v>24</v>
      </c>
      <c r="B57" t="s">
        <v>11</v>
      </c>
      <c r="C57">
        <v>0.54300000000000004</v>
      </c>
      <c r="D57">
        <v>7.1999999999999995E-2</v>
      </c>
      <c r="E57">
        <v>7.1999999999999995E-2</v>
      </c>
      <c r="F57">
        <v>0.54300000000000004</v>
      </c>
      <c r="G57">
        <v>7.1999999999999995E-2</v>
      </c>
      <c r="H57">
        <v>7.1999999999999995E-2</v>
      </c>
      <c r="I57">
        <v>1.212</v>
      </c>
      <c r="J57">
        <v>3.5000000000000003E-2</v>
      </c>
    </row>
    <row r="58" spans="1:10">
      <c r="A58" t="s">
        <v>22</v>
      </c>
      <c r="B58" t="s">
        <v>11</v>
      </c>
      <c r="C58">
        <v>0.52600000000000002</v>
      </c>
      <c r="D58">
        <v>8.1000000000000003E-2</v>
      </c>
      <c r="E58">
        <v>8.1000000000000003E-2</v>
      </c>
      <c r="F58">
        <v>0.52600000000000002</v>
      </c>
      <c r="G58">
        <v>8.1000000000000003E-2</v>
      </c>
      <c r="H58">
        <v>8.1000000000000003E-2</v>
      </c>
      <c r="I58">
        <v>0.96899999999999997</v>
      </c>
      <c r="J58">
        <v>4.4999999999999998E-2</v>
      </c>
    </row>
    <row r="59" spans="1:10">
      <c r="A59" t="s">
        <v>97</v>
      </c>
      <c r="B59" t="s">
        <v>11</v>
      </c>
      <c r="C59">
        <v>0.51500000000000001</v>
      </c>
      <c r="D59">
        <v>6.4000000000000001E-2</v>
      </c>
      <c r="E59">
        <v>6.4000000000000001E-2</v>
      </c>
      <c r="F59">
        <v>0.51500000000000001</v>
      </c>
      <c r="G59">
        <v>6.4000000000000001E-2</v>
      </c>
      <c r="H59">
        <v>6.4000000000000001E-2</v>
      </c>
      <c r="I59">
        <v>1.238</v>
      </c>
      <c r="J59">
        <v>5.6000000000000001E-2</v>
      </c>
    </row>
    <row r="60" spans="1:10">
      <c r="A60" t="s">
        <v>10</v>
      </c>
      <c r="B60" t="s">
        <v>11</v>
      </c>
      <c r="C60">
        <v>0.47</v>
      </c>
      <c r="D60">
        <v>7.0000000000000007E-2</v>
      </c>
      <c r="E60">
        <v>0.03</v>
      </c>
      <c r="F60">
        <v>0.46</v>
      </c>
      <c r="G60">
        <v>0.06</v>
      </c>
      <c r="H60">
        <v>0.01</v>
      </c>
      <c r="I60">
        <v>1.9</v>
      </c>
      <c r="J60">
        <v>0.3</v>
      </c>
    </row>
    <row r="61" spans="1:10">
      <c r="A61" t="s">
        <v>70</v>
      </c>
      <c r="B61" t="s">
        <v>11</v>
      </c>
      <c r="C61">
        <v>0.43</v>
      </c>
      <c r="D61">
        <v>0.13</v>
      </c>
      <c r="E61">
        <v>0.13</v>
      </c>
      <c r="F61">
        <v>0.43</v>
      </c>
      <c r="G61">
        <v>0.13</v>
      </c>
      <c r="H61">
        <v>0.13</v>
      </c>
      <c r="I61">
        <v>1.1499999999999999</v>
      </c>
      <c r="J61">
        <v>0.11</v>
      </c>
    </row>
    <row r="62" spans="1:10">
      <c r="A62" t="s">
        <v>108</v>
      </c>
      <c r="B62" t="s">
        <v>11</v>
      </c>
      <c r="C62">
        <v>0.42799999999999999</v>
      </c>
      <c r="D62">
        <v>1.4999999999999999E-2</v>
      </c>
      <c r="E62">
        <v>1.4999999999999999E-2</v>
      </c>
      <c r="F62">
        <v>0.42799999999999999</v>
      </c>
      <c r="G62">
        <v>1.4999999999999999E-2</v>
      </c>
      <c r="H62">
        <v>1.4999999999999999E-2</v>
      </c>
      <c r="I62">
        <v>0.90100000000000002</v>
      </c>
      <c r="J62">
        <v>3.7999999999999999E-2</v>
      </c>
    </row>
    <row r="63" spans="1:10">
      <c r="A63" t="s">
        <v>65</v>
      </c>
      <c r="B63" t="s">
        <v>11</v>
      </c>
      <c r="C63">
        <v>0.42</v>
      </c>
      <c r="D63">
        <v>0.05</v>
      </c>
      <c r="E63">
        <v>0.05</v>
      </c>
      <c r="F63">
        <v>1.2999999999999999E-2</v>
      </c>
      <c r="G63">
        <v>3.0000000000000001E-3</v>
      </c>
      <c r="H63">
        <v>3.0000000000000001E-3</v>
      </c>
      <c r="I63">
        <v>1.034</v>
      </c>
      <c r="J63">
        <v>1.7000000000000001E-2</v>
      </c>
    </row>
    <row r="64" spans="1:10">
      <c r="A64" t="s">
        <v>94</v>
      </c>
      <c r="B64" t="s">
        <v>11</v>
      </c>
      <c r="C64">
        <v>0.39500000000000002</v>
      </c>
      <c r="D64">
        <v>7.0000000000000007E-2</v>
      </c>
      <c r="E64">
        <v>7.0000000000000007E-2</v>
      </c>
      <c r="F64">
        <v>1.2</v>
      </c>
      <c r="G64">
        <v>1.2</v>
      </c>
      <c r="H64">
        <v>0</v>
      </c>
      <c r="I64">
        <v>0.81699999999999995</v>
      </c>
      <c r="J64">
        <v>2.3E-2</v>
      </c>
    </row>
    <row r="65" spans="1:10">
      <c r="A65" t="s">
        <v>74</v>
      </c>
      <c r="B65" t="s">
        <v>11</v>
      </c>
      <c r="C65">
        <v>0.34</v>
      </c>
      <c r="D65">
        <v>0.08</v>
      </c>
      <c r="E65">
        <v>0.08</v>
      </c>
      <c r="F65">
        <v>0.34</v>
      </c>
      <c r="G65">
        <v>0.08</v>
      </c>
      <c r="H65">
        <v>0.08</v>
      </c>
      <c r="I65">
        <v>1.0900000000000001</v>
      </c>
      <c r="J65">
        <v>0.03</v>
      </c>
    </row>
    <row r="66" spans="1:10">
      <c r="A66" t="s">
        <v>16</v>
      </c>
      <c r="B66" t="s">
        <v>11</v>
      </c>
      <c r="C66">
        <v>0.309</v>
      </c>
      <c r="D66">
        <v>1.7999999999999999E-2</v>
      </c>
      <c r="E66">
        <v>1.7999999999999999E-2</v>
      </c>
      <c r="F66">
        <v>0.309</v>
      </c>
      <c r="G66">
        <v>1.7999999999999999E-2</v>
      </c>
      <c r="H66">
        <v>1.7999999999999999E-2</v>
      </c>
      <c r="I66">
        <v>1.2929999999999999</v>
      </c>
      <c r="J66">
        <v>5.3999999999999999E-2</v>
      </c>
    </row>
    <row r="67" spans="1:10">
      <c r="A67" t="s">
        <v>118</v>
      </c>
      <c r="B67" t="s">
        <v>11</v>
      </c>
      <c r="C67">
        <v>0.3</v>
      </c>
      <c r="D67">
        <v>0.03</v>
      </c>
      <c r="E67">
        <v>0.03</v>
      </c>
      <c r="F67">
        <v>0.3</v>
      </c>
      <c r="G67">
        <v>0.03</v>
      </c>
      <c r="H67">
        <v>0.03</v>
      </c>
      <c r="I67">
        <v>1.04</v>
      </c>
      <c r="J67">
        <v>0.05</v>
      </c>
    </row>
    <row r="68" spans="1:10">
      <c r="A68" t="s">
        <v>75</v>
      </c>
      <c r="B68" t="s">
        <v>11</v>
      </c>
      <c r="C68">
        <v>0.28999999999999998</v>
      </c>
      <c r="D68">
        <v>0.09</v>
      </c>
      <c r="E68">
        <v>0.09</v>
      </c>
      <c r="F68">
        <v>0.28999999999999998</v>
      </c>
      <c r="G68">
        <v>0.09</v>
      </c>
      <c r="H68">
        <v>0.09</v>
      </c>
      <c r="I68">
        <v>1.23</v>
      </c>
      <c r="J68">
        <v>0.21</v>
      </c>
    </row>
    <row r="69" spans="1:10">
      <c r="A69" t="s">
        <v>90</v>
      </c>
      <c r="B69" t="s">
        <v>11</v>
      </c>
      <c r="C69">
        <v>0.28000000000000003</v>
      </c>
      <c r="D69">
        <v>3.4000000000000002E-2</v>
      </c>
      <c r="E69">
        <v>3.6999999999999998E-2</v>
      </c>
      <c r="F69">
        <v>0.28000000000000003</v>
      </c>
      <c r="G69">
        <v>3.4000000000000002E-2</v>
      </c>
      <c r="H69">
        <v>3.6999999999999998E-2</v>
      </c>
      <c r="I69">
        <v>0.76200000000000001</v>
      </c>
      <c r="J69">
        <v>2.7E-2</v>
      </c>
    </row>
    <row r="70" spans="1:10">
      <c r="A70" t="s">
        <v>116</v>
      </c>
      <c r="B70" t="s">
        <v>11</v>
      </c>
      <c r="C70">
        <v>0.26</v>
      </c>
      <c r="D70">
        <v>1.7000000000000001E-2</v>
      </c>
      <c r="E70">
        <v>1.7000000000000001E-2</v>
      </c>
      <c r="F70">
        <v>0.26</v>
      </c>
      <c r="G70">
        <v>1.7000000000000001E-2</v>
      </c>
      <c r="H70">
        <v>1.7000000000000001E-2</v>
      </c>
      <c r="I70">
        <v>1.0569999999999999</v>
      </c>
      <c r="J70">
        <v>4.7E-2</v>
      </c>
    </row>
    <row r="71" spans="1:10">
      <c r="A71" t="s">
        <v>83</v>
      </c>
      <c r="B71" t="s">
        <v>11</v>
      </c>
      <c r="C71">
        <v>0.25045610000000001</v>
      </c>
      <c r="D71">
        <v>2.7273200000000001E-2</v>
      </c>
      <c r="E71">
        <v>2.7274699999999999E-2</v>
      </c>
      <c r="F71">
        <v>0.2504555</v>
      </c>
      <c r="G71">
        <v>2.7272999999999999E-2</v>
      </c>
      <c r="H71">
        <v>2.7272999999999999E-2</v>
      </c>
      <c r="I71">
        <v>0.91988999999999999</v>
      </c>
      <c r="J71">
        <v>2.1770000000000001E-2</v>
      </c>
    </row>
    <row r="72" spans="1:10">
      <c r="A72" t="s">
        <v>73</v>
      </c>
      <c r="B72" t="s">
        <v>11</v>
      </c>
      <c r="C72">
        <v>0.25</v>
      </c>
      <c r="D72">
        <v>0.08</v>
      </c>
      <c r="E72">
        <v>0.08</v>
      </c>
      <c r="F72">
        <v>0.25</v>
      </c>
      <c r="G72">
        <v>0.08</v>
      </c>
      <c r="H72">
        <v>0.08</v>
      </c>
      <c r="I72">
        <v>0.97799999999999998</v>
      </c>
      <c r="J72">
        <v>2.1999999999999999E-2</v>
      </c>
    </row>
    <row r="73" spans="1:10">
      <c r="A73" t="s">
        <v>93</v>
      </c>
      <c r="B73" t="s">
        <v>11</v>
      </c>
      <c r="C73">
        <v>0.247</v>
      </c>
      <c r="D73">
        <v>3.1099999999999999E-2</v>
      </c>
      <c r="E73">
        <v>2.9899999999999999E-2</v>
      </c>
      <c r="F73">
        <v>0.246</v>
      </c>
      <c r="G73">
        <v>3.1099999999999999E-2</v>
      </c>
      <c r="H73">
        <v>3.1099999999999999E-2</v>
      </c>
      <c r="I73">
        <v>0.57189999999999996</v>
      </c>
      <c r="J73">
        <v>1.43E-2</v>
      </c>
    </row>
    <row r="74" spans="1:10">
      <c r="A74" t="s">
        <v>37</v>
      </c>
      <c r="B74" t="s">
        <v>11</v>
      </c>
      <c r="C74">
        <v>0.223</v>
      </c>
      <c r="D74">
        <v>3.1E-2</v>
      </c>
      <c r="E74">
        <v>3.1E-2</v>
      </c>
      <c r="F74">
        <v>0.223</v>
      </c>
      <c r="G74">
        <v>3.1E-2</v>
      </c>
      <c r="H74">
        <v>3.1E-2</v>
      </c>
      <c r="I74">
        <v>0.85</v>
      </c>
      <c r="J74">
        <v>2.1999999999999999E-2</v>
      </c>
    </row>
    <row r="75" spans="1:10">
      <c r="A75" t="s">
        <v>27</v>
      </c>
      <c r="B75" t="s">
        <v>11</v>
      </c>
      <c r="C75">
        <v>0.13800000000000001</v>
      </c>
      <c r="D75">
        <v>1.9E-2</v>
      </c>
      <c r="E75">
        <v>1.9E-2</v>
      </c>
      <c r="F75">
        <v>0.13800000000000001</v>
      </c>
      <c r="G75">
        <v>1.9E-2</v>
      </c>
      <c r="H75">
        <v>1.9E-2</v>
      </c>
      <c r="I75">
        <v>0.873</v>
      </c>
      <c r="J75">
        <v>7.4999999999999997E-2</v>
      </c>
    </row>
    <row r="76" spans="1:10">
      <c r="A76" t="s">
        <v>33</v>
      </c>
      <c r="B76" t="s">
        <v>11</v>
      </c>
      <c r="C76">
        <v>8.4949999999999998E-2</v>
      </c>
      <c r="D76">
        <v>5.0340000000000003E-2</v>
      </c>
      <c r="E76">
        <v>5.3490000000000003E-2</v>
      </c>
      <c r="F76">
        <v>8.5000000000000006E-2</v>
      </c>
      <c r="G76">
        <v>5.2999999999999999E-2</v>
      </c>
      <c r="H76">
        <v>5.2999999999999999E-2</v>
      </c>
      <c r="I76">
        <v>0.34300000000000003</v>
      </c>
      <c r="J76">
        <v>3.1E-2</v>
      </c>
    </row>
    <row r="77" spans="1:10">
      <c r="A77" t="s">
        <v>63</v>
      </c>
      <c r="B77" t="s">
        <v>11</v>
      </c>
      <c r="C77">
        <v>7.5804999999999997E-2</v>
      </c>
      <c r="D77">
        <v>1.2697E-2</v>
      </c>
      <c r="E77">
        <v>1.2697999999999999E-2</v>
      </c>
      <c r="F77">
        <v>7.5717000000000007E-2</v>
      </c>
      <c r="G77">
        <v>1.268E-2</v>
      </c>
      <c r="H77">
        <v>1.268E-2</v>
      </c>
      <c r="I77">
        <v>0.4128</v>
      </c>
      <c r="J77">
        <v>9.1000000000000004E-3</v>
      </c>
    </row>
    <row r="78" spans="1:10">
      <c r="A78" t="s">
        <v>12</v>
      </c>
      <c r="B78" t="s">
        <v>11</v>
      </c>
      <c r="C78">
        <v>7.0000000000000007E-2</v>
      </c>
      <c r="D78">
        <v>0.03</v>
      </c>
      <c r="E78">
        <v>0.03</v>
      </c>
      <c r="F78">
        <v>5.1299999999999998E-2</v>
      </c>
      <c r="G78">
        <v>1.9E-2</v>
      </c>
      <c r="H78">
        <v>1.9E-2</v>
      </c>
      <c r="I78">
        <v>0.23</v>
      </c>
      <c r="J78">
        <v>0.01</v>
      </c>
    </row>
    <row r="79" spans="1:10">
      <c r="A79" t="s">
        <v>79</v>
      </c>
      <c r="B79" t="s">
        <v>11</v>
      </c>
      <c r="C79">
        <v>7.0000000000000007E-2</v>
      </c>
      <c r="D79">
        <v>1.2E-2</v>
      </c>
      <c r="E79">
        <v>1.2E-2</v>
      </c>
      <c r="F79">
        <v>9.4399999999999998E-2</v>
      </c>
      <c r="G79">
        <v>0.02</v>
      </c>
      <c r="H79">
        <v>0.02</v>
      </c>
      <c r="I79">
        <v>0.58099999999999996</v>
      </c>
      <c r="J79">
        <v>2.5000000000000001E-2</v>
      </c>
    </row>
    <row r="80" spans="1:10">
      <c r="A80" t="s">
        <v>89</v>
      </c>
      <c r="B80" t="s">
        <v>11</v>
      </c>
      <c r="C80">
        <v>6.9000000000000006E-2</v>
      </c>
      <c r="D80">
        <v>6.9000000000000006E-2</v>
      </c>
      <c r="E80">
        <v>0</v>
      </c>
      <c r="F80">
        <v>6.8599999999999994E-2</v>
      </c>
      <c r="G80">
        <v>6.6000000000000003E-2</v>
      </c>
      <c r="H80">
        <v>2.8E-3</v>
      </c>
      <c r="I80">
        <v>0.59860000000000002</v>
      </c>
      <c r="J80">
        <v>3.0300000000000001E-2</v>
      </c>
    </row>
    <row r="81" spans="1:10">
      <c r="A81" t="s">
        <v>34</v>
      </c>
      <c r="B81" t="s">
        <v>11</v>
      </c>
      <c r="C81">
        <v>5.978E-2</v>
      </c>
      <c r="D81">
        <v>6.6100000000000004E-3</v>
      </c>
      <c r="E81">
        <v>6.9199999999999999E-3</v>
      </c>
      <c r="F81">
        <v>6.4799999999999996E-2</v>
      </c>
      <c r="G81">
        <v>8.9999999999999998E-4</v>
      </c>
      <c r="H81">
        <v>5.0000000000000001E-3</v>
      </c>
      <c r="I81">
        <v>0.50299000000000005</v>
      </c>
      <c r="J81">
        <v>5.4400000000000004E-3</v>
      </c>
    </row>
    <row r="82" spans="1:10">
      <c r="A82" t="s">
        <v>35</v>
      </c>
      <c r="B82" t="s">
        <v>11</v>
      </c>
      <c r="C82">
        <v>5.16E-2</v>
      </c>
      <c r="D82">
        <v>5.9999999999999995E-4</v>
      </c>
      <c r="E82">
        <v>4.1000000000000003E-3</v>
      </c>
      <c r="F82">
        <v>8.5000000000000006E-2</v>
      </c>
      <c r="G82">
        <v>2.1999999999999999E-2</v>
      </c>
      <c r="H82">
        <v>2.1999999999999999E-2</v>
      </c>
      <c r="I82">
        <v>0.70750000000000002</v>
      </c>
      <c r="J82">
        <v>1.1599999999999999E-2</v>
      </c>
    </row>
    <row r="83" spans="1:10">
      <c r="A83" t="s">
        <v>56</v>
      </c>
      <c r="B83" t="s">
        <v>11</v>
      </c>
      <c r="C83">
        <v>5.0999999999999997E-2</v>
      </c>
      <c r="D83">
        <v>1.0999999999999999E-2</v>
      </c>
      <c r="E83">
        <v>1.0999999999999999E-2</v>
      </c>
      <c r="F83">
        <v>5.0750000000000003E-2</v>
      </c>
      <c r="G83">
        <v>1.0999999999999999E-2</v>
      </c>
      <c r="H83">
        <v>1.0999999999999999E-2</v>
      </c>
      <c r="I83">
        <v>0.215</v>
      </c>
      <c r="J83">
        <v>1.7999999999999999E-2</v>
      </c>
    </row>
    <row r="84" spans="1:10">
      <c r="A84" t="s">
        <v>41</v>
      </c>
      <c r="B84" t="s">
        <v>11</v>
      </c>
      <c r="C84">
        <v>4.4990000000000002E-2</v>
      </c>
      <c r="D84">
        <v>1.5730000000000001E-2</v>
      </c>
      <c r="E84">
        <v>2.0140000000000002E-2</v>
      </c>
      <c r="F84">
        <v>2.6110000000000001E-2</v>
      </c>
      <c r="G84">
        <v>5.6600000000000001E-3</v>
      </c>
      <c r="H84">
        <v>8.5000000000000006E-3</v>
      </c>
      <c r="I84">
        <v>0.24399999999999999</v>
      </c>
      <c r="J84">
        <v>0.01</v>
      </c>
    </row>
    <row r="85" spans="1:10">
      <c r="A85" t="s">
        <v>32</v>
      </c>
      <c r="B85" t="s">
        <v>11</v>
      </c>
      <c r="C85">
        <v>3.7199999999999997E-2</v>
      </c>
      <c r="D85">
        <v>4.1900000000000001E-3</v>
      </c>
      <c r="E85">
        <v>4.1900000000000001E-3</v>
      </c>
      <c r="F85">
        <v>3.7190000000000001E-2</v>
      </c>
      <c r="G85">
        <v>4.1799999999999997E-3</v>
      </c>
      <c r="H85">
        <v>4.1799999999999997E-3</v>
      </c>
      <c r="I85">
        <v>0.22600000000000001</v>
      </c>
      <c r="J85">
        <v>1.6E-2</v>
      </c>
    </row>
    <row r="86" spans="1:10">
      <c r="A86" t="s">
        <v>38</v>
      </c>
      <c r="B86" t="s">
        <v>11</v>
      </c>
      <c r="C86">
        <v>3.5499999999999997E-2</v>
      </c>
      <c r="D86">
        <v>2.053E-2</v>
      </c>
      <c r="E86">
        <v>3.601E-2</v>
      </c>
      <c r="F86">
        <v>3.4299999999999997E-2</v>
      </c>
      <c r="G86">
        <v>1.9820000000000001E-2</v>
      </c>
      <c r="H86">
        <v>3.4610000000000002E-2</v>
      </c>
      <c r="I86">
        <v>0.29399999999999998</v>
      </c>
      <c r="J86">
        <v>0.11600000000000001</v>
      </c>
    </row>
    <row r="87" spans="1:10">
      <c r="A87" t="s">
        <v>87</v>
      </c>
      <c r="B87" t="s">
        <v>11</v>
      </c>
      <c r="C87">
        <v>3.5299999999999998E-2</v>
      </c>
      <c r="D87">
        <v>1.9E-3</v>
      </c>
      <c r="E87">
        <v>1.9E-3</v>
      </c>
      <c r="F87">
        <v>3.5799999999999998E-2</v>
      </c>
      <c r="G87">
        <v>3.0999999999999999E-3</v>
      </c>
      <c r="H87">
        <v>3.0999999999999999E-3</v>
      </c>
      <c r="I87">
        <v>0.25489000000000001</v>
      </c>
      <c r="J87">
        <v>5.1700000000000001E-3</v>
      </c>
    </row>
    <row r="88" spans="1:10">
      <c r="A88" t="s">
        <v>55</v>
      </c>
      <c r="B88" t="s">
        <v>11</v>
      </c>
      <c r="C88">
        <v>3.5000000000000003E-2</v>
      </c>
      <c r="D88">
        <v>1.7999999999999999E-2</v>
      </c>
      <c r="E88">
        <v>1.7999999999999999E-2</v>
      </c>
      <c r="F88">
        <v>3.5139999999999998E-2</v>
      </c>
      <c r="G88">
        <v>1.7999999999999999E-2</v>
      </c>
      <c r="H88">
        <v>1.7999999999999999E-2</v>
      </c>
      <c r="I88">
        <v>0.22800000000000001</v>
      </c>
      <c r="J88">
        <v>2.9000000000000001E-2</v>
      </c>
    </row>
    <row r="89" spans="1:10">
      <c r="A89" t="s">
        <v>62</v>
      </c>
      <c r="B89" t="s">
        <v>11</v>
      </c>
      <c r="C89">
        <v>3.4013000000000002E-2</v>
      </c>
      <c r="D89">
        <v>9.7359999999999999E-3</v>
      </c>
      <c r="E89">
        <v>9.7370000000000009E-3</v>
      </c>
      <c r="F89">
        <v>3.3971000000000001E-2</v>
      </c>
      <c r="G89">
        <v>9.7199999999999995E-3</v>
      </c>
      <c r="H89">
        <v>9.7199999999999995E-3</v>
      </c>
      <c r="I89">
        <v>0.24124000000000001</v>
      </c>
      <c r="J89">
        <v>5.2599999999999999E-3</v>
      </c>
    </row>
    <row r="90" spans="1:10">
      <c r="A90" t="s">
        <v>53</v>
      </c>
      <c r="B90" t="s">
        <v>11</v>
      </c>
      <c r="C90">
        <v>3.1314000000000002E-2</v>
      </c>
      <c r="D90">
        <v>8.848E-3</v>
      </c>
      <c r="E90">
        <v>8.848E-3</v>
      </c>
      <c r="F90">
        <v>3.1289999999999998E-2</v>
      </c>
      <c r="G90">
        <v>8.8400000000000006E-3</v>
      </c>
      <c r="H90">
        <v>8.8400000000000006E-3</v>
      </c>
      <c r="I90">
        <v>0.21229999999999999</v>
      </c>
      <c r="J90">
        <v>5.4000000000000003E-3</v>
      </c>
    </row>
    <row r="91" spans="1:10">
      <c r="A91" t="s">
        <v>61</v>
      </c>
      <c r="B91" t="s">
        <v>11</v>
      </c>
      <c r="C91">
        <v>2.9963E-2</v>
      </c>
      <c r="D91">
        <v>4.5970000000000004E-3</v>
      </c>
      <c r="E91">
        <v>4.6499999999999996E-3</v>
      </c>
      <c r="F91">
        <v>2.9930999999999999E-2</v>
      </c>
      <c r="G91">
        <v>4.5869999999999999E-3</v>
      </c>
      <c r="H91">
        <v>4.5869999999999999E-3</v>
      </c>
      <c r="I91">
        <v>0.17904999999999999</v>
      </c>
      <c r="J91">
        <v>1.6330000000000001E-2</v>
      </c>
    </row>
    <row r="92" spans="1:10">
      <c r="A92" t="s">
        <v>40</v>
      </c>
      <c r="B92" t="s">
        <v>11</v>
      </c>
      <c r="C92">
        <v>2.8000000000000001E-2</v>
      </c>
      <c r="D92">
        <v>1.196E-2</v>
      </c>
      <c r="E92">
        <v>1.7930000000000001E-2</v>
      </c>
      <c r="F92">
        <v>2.9579999999999999E-2</v>
      </c>
      <c r="G92">
        <v>6.2899999999999996E-3</v>
      </c>
      <c r="H92">
        <v>9.1199999999999996E-3</v>
      </c>
      <c r="I92">
        <v>0.26100000000000001</v>
      </c>
      <c r="J92">
        <v>1.0999999999999999E-2</v>
      </c>
    </row>
    <row r="93" spans="1:10">
      <c r="A93" t="s">
        <v>88</v>
      </c>
      <c r="B93" t="s">
        <v>11</v>
      </c>
      <c r="C93">
        <v>2.725E-2</v>
      </c>
      <c r="D93">
        <v>2.8E-3</v>
      </c>
      <c r="E93">
        <v>2.8E-3</v>
      </c>
      <c r="F93">
        <v>0.03</v>
      </c>
      <c r="G93">
        <v>1.0999999999999999E-2</v>
      </c>
      <c r="H93">
        <v>1.0999999999999999E-2</v>
      </c>
      <c r="I93">
        <v>0.22366</v>
      </c>
      <c r="J93">
        <v>3.5999999999999999E-3</v>
      </c>
    </row>
    <row r="94" spans="1:10">
      <c r="A94" t="s">
        <v>57</v>
      </c>
      <c r="B94" t="s">
        <v>11</v>
      </c>
      <c r="C94">
        <v>2.5999999999999999E-2</v>
      </c>
      <c r="D94">
        <v>1.9E-2</v>
      </c>
      <c r="E94">
        <v>1.9E-2</v>
      </c>
      <c r="F94">
        <v>2.5999999999999999E-2</v>
      </c>
      <c r="G94">
        <v>1.9E-2</v>
      </c>
      <c r="H94">
        <v>1.9E-2</v>
      </c>
      <c r="I94">
        <v>7.4999999999999997E-2</v>
      </c>
      <c r="J94">
        <v>6.0000000000000001E-3</v>
      </c>
    </row>
    <row r="95" spans="1:10">
      <c r="A95" t="s">
        <v>84</v>
      </c>
      <c r="B95" t="s">
        <v>11</v>
      </c>
      <c r="C95">
        <v>2.5466200000000001E-2</v>
      </c>
      <c r="D95">
        <v>2.5665E-2</v>
      </c>
      <c r="E95">
        <v>2.5665799999999999E-2</v>
      </c>
      <c r="F95">
        <v>2.5465999999999999E-2</v>
      </c>
      <c r="G95">
        <v>2.5665E-2</v>
      </c>
      <c r="H95">
        <v>2.5665E-2</v>
      </c>
      <c r="I95">
        <v>0.54564000000000001</v>
      </c>
      <c r="J95">
        <v>1.294E-2</v>
      </c>
    </row>
    <row r="96" spans="1:10">
      <c r="A96" t="s">
        <v>30</v>
      </c>
      <c r="B96" t="s">
        <v>11</v>
      </c>
      <c r="C96">
        <v>2.4899999999999999E-2</v>
      </c>
      <c r="D96">
        <v>9.4000000000000004E-3</v>
      </c>
      <c r="E96">
        <v>1.01E-2</v>
      </c>
      <c r="F96">
        <v>2.4899999999999999E-2</v>
      </c>
      <c r="G96">
        <v>8.9999999999999993E-3</v>
      </c>
      <c r="H96">
        <v>1.01E-2</v>
      </c>
      <c r="I96">
        <v>0.24060999999999999</v>
      </c>
      <c r="J96">
        <v>8.0000000000000002E-3</v>
      </c>
    </row>
    <row r="97" spans="1:10">
      <c r="A97" t="s">
        <v>51</v>
      </c>
      <c r="B97" t="s">
        <v>11</v>
      </c>
      <c r="C97">
        <v>2.3E-2</v>
      </c>
      <c r="D97">
        <v>0.01</v>
      </c>
      <c r="E97">
        <v>0.01</v>
      </c>
      <c r="F97">
        <v>2.3099999999999999E-2</v>
      </c>
      <c r="G97">
        <v>0.01</v>
      </c>
      <c r="H97">
        <v>0.01</v>
      </c>
      <c r="I97">
        <v>0.11799999999999999</v>
      </c>
      <c r="J97">
        <v>4.0000000000000001E-3</v>
      </c>
    </row>
    <row r="98" spans="1:10">
      <c r="A98" t="s">
        <v>64</v>
      </c>
      <c r="B98" t="s">
        <v>11</v>
      </c>
      <c r="C98">
        <v>2.3E-2</v>
      </c>
      <c r="D98">
        <v>2.1000000000000001E-2</v>
      </c>
      <c r="E98">
        <v>2.1000000000000001E-2</v>
      </c>
      <c r="F98">
        <v>2.3E-2</v>
      </c>
      <c r="G98">
        <v>2.1000000000000001E-2</v>
      </c>
      <c r="H98">
        <v>2.1000000000000001E-2</v>
      </c>
      <c r="I98">
        <v>0.192</v>
      </c>
      <c r="J98">
        <v>8.9999999999999993E-3</v>
      </c>
    </row>
    <row r="99" spans="1:10">
      <c r="A99" t="s">
        <v>68</v>
      </c>
      <c r="B99" t="s">
        <v>11</v>
      </c>
      <c r="C99">
        <v>0.02</v>
      </c>
      <c r="D99">
        <v>4.0000000000000001E-3</v>
      </c>
      <c r="E99">
        <v>4.0000000000000001E-3</v>
      </c>
      <c r="F99">
        <v>0.02</v>
      </c>
      <c r="G99">
        <v>4.4000000000000003E-3</v>
      </c>
      <c r="H99">
        <v>4.4000000000000003E-3</v>
      </c>
      <c r="I99">
        <v>0.128</v>
      </c>
      <c r="J99">
        <v>3.0000000000000001E-3</v>
      </c>
    </row>
    <row r="100" spans="1:10">
      <c r="A100" t="s">
        <v>82</v>
      </c>
      <c r="B100" t="s">
        <v>11</v>
      </c>
      <c r="C100">
        <v>1.9528E-2</v>
      </c>
      <c r="D100">
        <v>1.7593000000000001E-2</v>
      </c>
      <c r="E100">
        <v>1.7609E-2</v>
      </c>
      <c r="F100">
        <v>1.9519999999999999E-2</v>
      </c>
      <c r="G100">
        <v>1.7585E-2</v>
      </c>
      <c r="H100">
        <v>1.7585E-2</v>
      </c>
      <c r="I100">
        <v>0.34472999999999998</v>
      </c>
      <c r="J100">
        <v>8.8299999999999993E-3</v>
      </c>
    </row>
    <row r="101" spans="1:10">
      <c r="A101" t="s">
        <v>81</v>
      </c>
      <c r="B101" t="s">
        <v>11</v>
      </c>
      <c r="C101">
        <v>1.8114999999999999E-2</v>
      </c>
      <c r="D101">
        <v>1.1957000000000001E-2</v>
      </c>
      <c r="E101">
        <v>1.1962E-2</v>
      </c>
      <c r="F101">
        <v>1.8114000000000002E-2</v>
      </c>
      <c r="G101">
        <v>1.2E-2</v>
      </c>
      <c r="H101">
        <v>1.2E-2</v>
      </c>
      <c r="I101">
        <v>0.14613000000000001</v>
      </c>
      <c r="J101">
        <v>1.0880000000000001E-2</v>
      </c>
    </row>
    <row r="102" spans="1:10">
      <c r="A102" t="s">
        <v>78</v>
      </c>
      <c r="B102" t="s">
        <v>11</v>
      </c>
      <c r="C102">
        <v>1.7000000000000001E-2</v>
      </c>
      <c r="D102">
        <v>4.4000000000000003E-3</v>
      </c>
      <c r="E102">
        <v>4.4000000000000003E-3</v>
      </c>
      <c r="F102">
        <v>2.1499999999999998E-2</v>
      </c>
      <c r="G102">
        <v>4.4000000000000003E-3</v>
      </c>
      <c r="H102">
        <v>4.4000000000000003E-3</v>
      </c>
      <c r="I102">
        <v>0.2114</v>
      </c>
      <c r="J102">
        <v>1.1599999999999999E-2</v>
      </c>
    </row>
    <row r="103" spans="1:10">
      <c r="A103" t="s">
        <v>86</v>
      </c>
      <c r="B103" t="s">
        <v>11</v>
      </c>
      <c r="C103">
        <v>1.472E-2</v>
      </c>
      <c r="D103">
        <v>1.2999999999999999E-3</v>
      </c>
      <c r="E103">
        <v>1.2999999999999999E-3</v>
      </c>
      <c r="F103">
        <v>1.66E-2</v>
      </c>
      <c r="G103">
        <v>2.5000000000000001E-3</v>
      </c>
      <c r="H103">
        <v>2.5000000000000001E-3</v>
      </c>
      <c r="I103">
        <v>0.14657999999999999</v>
      </c>
      <c r="J103">
        <v>3.1199999999999999E-3</v>
      </c>
    </row>
    <row r="104" spans="1:10">
      <c r="A104" t="s">
        <v>66</v>
      </c>
      <c r="B104" t="s">
        <v>11</v>
      </c>
      <c r="C104">
        <v>1.2999999999999999E-2</v>
      </c>
      <c r="D104">
        <v>3.0000000000000001E-3</v>
      </c>
      <c r="E104">
        <v>3.0000000000000001E-3</v>
      </c>
      <c r="F104">
        <v>0.41499999999999998</v>
      </c>
      <c r="G104">
        <v>5.2999999999999999E-2</v>
      </c>
      <c r="H104">
        <v>5.2999999999999999E-2</v>
      </c>
      <c r="I104">
        <v>0.23899999999999999</v>
      </c>
      <c r="J104">
        <v>1.4999999999999999E-2</v>
      </c>
    </row>
    <row r="105" spans="1:10">
      <c r="A105" t="s">
        <v>31</v>
      </c>
      <c r="B105" t="s">
        <v>11</v>
      </c>
      <c r="C105">
        <v>1.2460000000000001E-2</v>
      </c>
      <c r="D105">
        <v>1.07E-3</v>
      </c>
      <c r="E105">
        <v>1.07E-3</v>
      </c>
      <c r="F105">
        <v>4.7540000000000004E-3</v>
      </c>
      <c r="G105">
        <v>1.4799999999999999E-4</v>
      </c>
      <c r="H105">
        <v>1.4799999999999999E-4</v>
      </c>
      <c r="I105">
        <v>0.12623999999999999</v>
      </c>
      <c r="J105">
        <v>4.3699999999999998E-3</v>
      </c>
    </row>
    <row r="106" spans="1:10">
      <c r="A106" t="s">
        <v>85</v>
      </c>
      <c r="B106" t="s">
        <v>11</v>
      </c>
      <c r="C106">
        <v>1.19971E-2</v>
      </c>
      <c r="D106">
        <v>1.8E-3</v>
      </c>
      <c r="E106">
        <v>1.8E-3</v>
      </c>
      <c r="F106">
        <v>1.1995499999999999E-2</v>
      </c>
      <c r="G106">
        <v>1.8E-3</v>
      </c>
      <c r="H106">
        <v>1.8E-3</v>
      </c>
      <c r="I106">
        <v>0.16166</v>
      </c>
      <c r="J106">
        <v>1.204E-2</v>
      </c>
    </row>
    <row r="107" spans="1:10">
      <c r="A107" t="s">
        <v>60</v>
      </c>
      <c r="B107" t="s">
        <v>11</v>
      </c>
      <c r="C107">
        <v>1.0997E-2</v>
      </c>
      <c r="D107">
        <v>1.8145000000000001E-2</v>
      </c>
      <c r="E107">
        <v>1.8145000000000001E-2</v>
      </c>
      <c r="F107">
        <v>1.0997E-2</v>
      </c>
      <c r="G107">
        <v>1.8145000000000001E-2</v>
      </c>
      <c r="H107">
        <v>1.8145000000000001E-2</v>
      </c>
      <c r="I107">
        <v>0.23080000000000001</v>
      </c>
      <c r="J107">
        <v>6.1999999999999998E-3</v>
      </c>
    </row>
    <row r="108" spans="1:10">
      <c r="A108" t="s">
        <v>52</v>
      </c>
      <c r="B108" t="s">
        <v>11</v>
      </c>
      <c r="C108">
        <v>9.4400000000000005E-3</v>
      </c>
      <c r="D108">
        <v>9.4400000000000005E-3</v>
      </c>
      <c r="E108">
        <v>0</v>
      </c>
      <c r="F108">
        <v>8.9999999999999993E-3</v>
      </c>
      <c r="G108">
        <v>8.9899999999999997E-3</v>
      </c>
      <c r="H108">
        <v>0</v>
      </c>
      <c r="I108">
        <v>5.1999999999999998E-2</v>
      </c>
      <c r="J108">
        <v>2E-3</v>
      </c>
    </row>
    <row r="109" spans="1:10">
      <c r="A109" t="s">
        <v>69</v>
      </c>
      <c r="B109" t="s">
        <v>11</v>
      </c>
      <c r="C109">
        <v>8.9999999999999993E-3</v>
      </c>
      <c r="D109">
        <v>6.0000000000000001E-3</v>
      </c>
      <c r="E109">
        <v>6.0000000000000001E-3</v>
      </c>
      <c r="F109">
        <v>8.5299999999999994E-3</v>
      </c>
      <c r="G109">
        <v>5.7000000000000002E-3</v>
      </c>
      <c r="H109">
        <v>5.7000000000000002E-3</v>
      </c>
      <c r="I109">
        <v>7.5999999999999998E-2</v>
      </c>
      <c r="J109">
        <v>3.0000000000000001E-3</v>
      </c>
    </row>
    <row r="110" spans="1:10">
      <c r="A110" t="s">
        <v>67</v>
      </c>
      <c r="B110" t="s">
        <v>11</v>
      </c>
      <c r="C110">
        <v>7.0200000000000002E-3</v>
      </c>
      <c r="D110">
        <v>2.64E-3</v>
      </c>
      <c r="E110">
        <v>1.6000000000000001E-3</v>
      </c>
      <c r="F110">
        <v>2.23</v>
      </c>
      <c r="G110">
        <v>0.84</v>
      </c>
      <c r="H110">
        <v>0.5</v>
      </c>
      <c r="I110">
        <v>0.1008</v>
      </c>
      <c r="J110">
        <v>4.4999999999999997E-3</v>
      </c>
    </row>
    <row r="111" spans="1:10">
      <c r="A111" t="s">
        <v>92</v>
      </c>
      <c r="B111" t="s">
        <v>11</v>
      </c>
      <c r="C111">
        <v>4.15E-3</v>
      </c>
      <c r="D111">
        <v>1.6000000000000001E-3</v>
      </c>
      <c r="E111">
        <v>2.8E-3</v>
      </c>
      <c r="F111">
        <v>1.35E-2</v>
      </c>
      <c r="G111">
        <v>1.35E-2</v>
      </c>
      <c r="H111">
        <v>0</v>
      </c>
      <c r="I111">
        <v>9.7199999999999995E-2</v>
      </c>
      <c r="J111">
        <v>6.1999999999999998E-3</v>
      </c>
    </row>
    <row r="112" spans="1:10">
      <c r="A112" t="s">
        <v>58</v>
      </c>
      <c r="B112" t="s">
        <v>11</v>
      </c>
      <c r="C112">
        <v>2.0100000000000001E-3</v>
      </c>
      <c r="D112">
        <v>1.2199999999999999E-3</v>
      </c>
      <c r="E112">
        <v>2.1199999999999999E-3</v>
      </c>
      <c r="F112">
        <v>3.1800000000000001E-3</v>
      </c>
      <c r="G112">
        <v>1.07E-3</v>
      </c>
      <c r="H112">
        <v>1.32E-3</v>
      </c>
      <c r="I112">
        <v>0.108</v>
      </c>
      <c r="J112">
        <v>7.0000000000000001E-3</v>
      </c>
    </row>
    <row r="113" spans="1:10">
      <c r="A113" t="s">
        <v>39</v>
      </c>
      <c r="B113" t="s">
        <v>11</v>
      </c>
      <c r="C113">
        <v>9.1E-4</v>
      </c>
      <c r="D113">
        <v>3.5E-4</v>
      </c>
      <c r="E113">
        <v>5.2999999999999998E-4</v>
      </c>
      <c r="F113">
        <v>9.1E-4</v>
      </c>
      <c r="G113">
        <v>3.5E-4</v>
      </c>
      <c r="H113">
        <v>5.2999999999999998E-4</v>
      </c>
      <c r="I113">
        <v>6.3E-2</v>
      </c>
      <c r="J113">
        <v>8.0000000000000002E-3</v>
      </c>
    </row>
  </sheetData>
  <sortState ref="A2:J113">
    <sortCondition descending="1" ref="C2:C11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5"/>
  <cols>
    <col min="1" max="1" width="19.7109375" customWidth="1"/>
    <col min="2" max="2" width="10.28515625" customWidth="1"/>
  </cols>
  <sheetData>
    <row r="1" spans="1:2" ht="20.100000000000001" customHeight="1">
      <c r="A1" s="4" t="s">
        <v>123</v>
      </c>
      <c r="B1" s="3" t="str">
        <f>INDEX(Sheet1!A:A,MATCH(MAX(Sheet1!C:C),Sheet1!C:C,0))</f>
        <v>beta Pic c</v>
      </c>
    </row>
    <row r="2" spans="1:2" ht="20.100000000000001" customHeight="1">
      <c r="A2" s="4" t="s">
        <v>124</v>
      </c>
      <c r="B2" s="3">
        <f>MAX(Sheet1!C:C)</f>
        <v>8.89</v>
      </c>
    </row>
    <row r="3" spans="1:2" ht="20.100000000000001" customHeight="1">
      <c r="A3" s="4" t="s">
        <v>125</v>
      </c>
      <c r="B3" s="3" t="str">
        <f>INDEX(Sheet1!A:A,MATCH(MIN(Sheet1!C:C),Sheet1!C:C,0))</f>
        <v>K2-266 Ac</v>
      </c>
    </row>
    <row r="4" spans="1:2" ht="20.100000000000001" customHeight="1">
      <c r="A4" s="4" t="s">
        <v>126</v>
      </c>
      <c r="B4" s="3">
        <f>MIN(Sheet1!C:C)</f>
        <v>9.1E-4</v>
      </c>
    </row>
    <row r="5" spans="1:2" ht="20.100000000000001" customHeight="1">
      <c r="A5" s="4" t="s">
        <v>127</v>
      </c>
      <c r="B5" s="3">
        <f>AVERAGE(Sheet1!C:C)</f>
        <v>0.94226637857142814</v>
      </c>
    </row>
    <row r="6" spans="1:2" ht="20.100000000000001" customHeight="1">
      <c r="A6" s="4" t="s">
        <v>128</v>
      </c>
      <c r="B6">
        <f>AVERAGE(Sheet1!I:I)</f>
        <v>0.87940794642857167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/>
  <cols>
    <col min="1" max="1" width="15.42578125" customWidth="1"/>
    <col min="2" max="2" width="18" customWidth="1"/>
  </cols>
  <sheetData>
    <row r="1" spans="1:2">
      <c r="A1" s="2" t="s">
        <v>129</v>
      </c>
      <c r="B1" s="2" t="s">
        <v>130</v>
      </c>
    </row>
    <row r="2" spans="1:2">
      <c r="A2" s="2" t="s">
        <v>11</v>
      </c>
      <c r="B2">
        <f>COUNTIF(Sheet1!B:B,A2)</f>
        <v>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13" sqref="K13"/>
    </sheetView>
  </sheetViews>
  <sheetFormatPr defaultRowHeight="15"/>
  <cols>
    <col min="1" max="1" width="15" customWidth="1"/>
  </cols>
  <sheetData>
    <row r="1" spans="1:2">
      <c r="A1" t="s">
        <v>131</v>
      </c>
      <c r="B1" t="s">
        <v>132</v>
      </c>
    </row>
    <row r="2" spans="1:2">
      <c r="A2" t="s">
        <v>13</v>
      </c>
      <c r="B2">
        <v>8.89</v>
      </c>
    </row>
    <row r="3" spans="1:2">
      <c r="A3" t="s">
        <v>121</v>
      </c>
      <c r="B3">
        <v>5.9</v>
      </c>
    </row>
    <row r="4" spans="1:2">
      <c r="A4" t="s">
        <v>54</v>
      </c>
      <c r="B4">
        <v>5.54</v>
      </c>
    </row>
    <row r="5" spans="1:2">
      <c r="A5" t="s">
        <v>76</v>
      </c>
      <c r="B5">
        <v>5.41</v>
      </c>
    </row>
    <row r="6" spans="1:2">
      <c r="A6" t="s">
        <v>101</v>
      </c>
      <c r="B6">
        <v>5.0599999999999996</v>
      </c>
    </row>
    <row r="7" spans="1:2">
      <c r="A7" t="s">
        <v>59</v>
      </c>
      <c r="B7">
        <v>4.16</v>
      </c>
    </row>
    <row r="8" spans="1:2">
      <c r="A8" t="s">
        <v>29</v>
      </c>
      <c r="B8">
        <v>3.1949999999999998</v>
      </c>
    </row>
    <row r="9" spans="1:2">
      <c r="A9" t="s">
        <v>42</v>
      </c>
      <c r="B9">
        <v>3</v>
      </c>
    </row>
    <row r="10" spans="1:2">
      <c r="A10" t="s">
        <v>91</v>
      </c>
      <c r="B10">
        <v>2.9</v>
      </c>
    </row>
    <row r="11" spans="1:2">
      <c r="A11" t="s">
        <v>48</v>
      </c>
      <c r="B11">
        <v>2.75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opLeftCell="A76" workbookViewId="0">
      <selection sqref="A1:B113"/>
    </sheetView>
  </sheetViews>
  <sheetFormatPr defaultRowHeight="15"/>
  <cols>
    <col min="1" max="1" width="8.140625" customWidth="1"/>
  </cols>
  <sheetData>
    <row r="1" spans="1:2">
      <c r="A1" s="1" t="s">
        <v>2</v>
      </c>
      <c r="B1" s="1" t="s">
        <v>8</v>
      </c>
    </row>
    <row r="2" spans="1:2">
      <c r="A2">
        <v>8.89</v>
      </c>
      <c r="B2">
        <v>1.2</v>
      </c>
    </row>
    <row r="3" spans="1:2">
      <c r="A3">
        <v>5.9</v>
      </c>
      <c r="B3">
        <v>1.04</v>
      </c>
    </row>
    <row r="4" spans="1:2">
      <c r="A4">
        <v>5.54</v>
      </c>
      <c r="B4">
        <v>0.23508000000000001</v>
      </c>
    </row>
    <row r="5" spans="1:2">
      <c r="A5">
        <v>5.41</v>
      </c>
      <c r="B5">
        <v>1.145</v>
      </c>
    </row>
    <row r="6" spans="1:2">
      <c r="A6">
        <v>5.0599999999999996</v>
      </c>
      <c r="B6">
        <v>1.5149999999999999</v>
      </c>
    </row>
    <row r="7" spans="1:2">
      <c r="A7">
        <v>4.16</v>
      </c>
      <c r="B7">
        <v>1.0660000000000001</v>
      </c>
    </row>
    <row r="8" spans="1:2">
      <c r="A8">
        <v>3.1949999999999998</v>
      </c>
      <c r="B8">
        <v>1.095</v>
      </c>
    </row>
    <row r="9" spans="1:2">
      <c r="A9">
        <v>3</v>
      </c>
      <c r="B9">
        <v>1.0509999999999999</v>
      </c>
    </row>
    <row r="10" spans="1:2">
      <c r="A10">
        <v>2.9</v>
      </c>
      <c r="B10">
        <v>1.069</v>
      </c>
    </row>
    <row r="11" spans="1:2">
      <c r="A11">
        <v>2.75</v>
      </c>
      <c r="B11">
        <v>1.415</v>
      </c>
    </row>
    <row r="12" spans="1:2">
      <c r="A12">
        <v>2.31</v>
      </c>
      <c r="B12">
        <v>1.51</v>
      </c>
    </row>
    <row r="13" spans="1:2">
      <c r="A13">
        <v>2.21</v>
      </c>
      <c r="B13">
        <v>1.385</v>
      </c>
    </row>
    <row r="14" spans="1:2">
      <c r="A14">
        <v>2.052</v>
      </c>
      <c r="B14">
        <v>1.036</v>
      </c>
    </row>
    <row r="15" spans="1:2">
      <c r="A15">
        <v>1.9</v>
      </c>
      <c r="B15">
        <v>1.3</v>
      </c>
    </row>
    <row r="16" spans="1:2">
      <c r="A16">
        <v>1.85</v>
      </c>
      <c r="B16">
        <v>1.413</v>
      </c>
    </row>
    <row r="17" spans="1:2">
      <c r="A17">
        <v>1.85</v>
      </c>
      <c r="B17">
        <v>1.4419999999999999</v>
      </c>
    </row>
    <row r="18" spans="1:2">
      <c r="A18">
        <v>1.78</v>
      </c>
      <c r="B18">
        <v>1.2450000000000001</v>
      </c>
    </row>
    <row r="19" spans="1:2">
      <c r="A19">
        <v>1.6160000000000001</v>
      </c>
      <c r="B19">
        <v>1.3169999999999999</v>
      </c>
    </row>
    <row r="20" spans="1:2">
      <c r="A20">
        <v>1.4870000000000001</v>
      </c>
      <c r="B20">
        <v>1.3180000000000001</v>
      </c>
    </row>
    <row r="21" spans="1:2">
      <c r="A21">
        <v>1.47</v>
      </c>
      <c r="B21">
        <v>1.9</v>
      </c>
    </row>
    <row r="22" spans="1:2">
      <c r="A22">
        <v>1.42</v>
      </c>
      <c r="B22">
        <v>1.552</v>
      </c>
    </row>
    <row r="23" spans="1:2">
      <c r="A23">
        <v>1.401</v>
      </c>
      <c r="B23">
        <v>1.792</v>
      </c>
    </row>
    <row r="24" spans="1:2">
      <c r="A24">
        <v>1.37</v>
      </c>
      <c r="B24">
        <v>1.65</v>
      </c>
    </row>
    <row r="25" spans="1:2">
      <c r="A25">
        <v>1.36</v>
      </c>
      <c r="B25">
        <v>1.288</v>
      </c>
    </row>
    <row r="26" spans="1:2">
      <c r="A26">
        <v>1.3380000000000001</v>
      </c>
      <c r="B26">
        <v>0.77700000000000002</v>
      </c>
    </row>
    <row r="27" spans="1:2">
      <c r="A27">
        <v>1.2649999999999999</v>
      </c>
      <c r="B27">
        <v>1.24</v>
      </c>
    </row>
    <row r="28" spans="1:2">
      <c r="A28">
        <v>1.23</v>
      </c>
      <c r="B28">
        <v>1.4</v>
      </c>
    </row>
    <row r="29" spans="1:2">
      <c r="A29">
        <v>1.1839999999999999</v>
      </c>
      <c r="B29">
        <v>1.865</v>
      </c>
    </row>
    <row r="30" spans="1:2">
      <c r="A30">
        <v>1.167</v>
      </c>
      <c r="B30">
        <v>1.2150000000000001</v>
      </c>
    </row>
    <row r="31" spans="1:2">
      <c r="A31">
        <v>1.1599999999999999</v>
      </c>
      <c r="B31">
        <v>1.21</v>
      </c>
    </row>
    <row r="32" spans="1:2">
      <c r="A32">
        <v>1.071</v>
      </c>
      <c r="B32">
        <v>1.0389999999999999</v>
      </c>
    </row>
    <row r="33" spans="1:2">
      <c r="A33">
        <v>1.03</v>
      </c>
      <c r="B33">
        <v>0.89</v>
      </c>
    </row>
    <row r="34" spans="1:2">
      <c r="A34">
        <v>1</v>
      </c>
      <c r="B34">
        <v>0.93</v>
      </c>
    </row>
    <row r="35" spans="1:2">
      <c r="A35">
        <v>0.94</v>
      </c>
      <c r="B35">
        <v>1.18</v>
      </c>
    </row>
    <row r="36" spans="1:2">
      <c r="A36">
        <v>0.92</v>
      </c>
      <c r="B36">
        <v>1.4430000000000001</v>
      </c>
    </row>
    <row r="37" spans="1:2">
      <c r="A37">
        <v>0.92</v>
      </c>
      <c r="B37">
        <v>1.327</v>
      </c>
    </row>
    <row r="38" spans="1:2">
      <c r="A38">
        <v>0.91</v>
      </c>
      <c r="B38">
        <v>1.4430000000000001</v>
      </c>
    </row>
    <row r="39" spans="1:2">
      <c r="A39">
        <v>0.9</v>
      </c>
      <c r="B39">
        <v>1.7</v>
      </c>
    </row>
    <row r="40" spans="1:2">
      <c r="A40">
        <v>0.88</v>
      </c>
      <c r="B40">
        <v>1.1910000000000001</v>
      </c>
    </row>
    <row r="41" spans="1:2">
      <c r="A41">
        <v>0.874</v>
      </c>
      <c r="B41">
        <v>1.86</v>
      </c>
    </row>
    <row r="42" spans="1:2">
      <c r="A42">
        <v>0.85</v>
      </c>
      <c r="B42">
        <v>0.9</v>
      </c>
    </row>
    <row r="43" spans="1:2">
      <c r="A43">
        <v>0.85</v>
      </c>
      <c r="B43">
        <v>1.609</v>
      </c>
    </row>
    <row r="44" spans="1:2">
      <c r="A44">
        <v>0.83899999999999997</v>
      </c>
      <c r="B44">
        <v>1.236</v>
      </c>
    </row>
    <row r="45" spans="1:2">
      <c r="A45">
        <v>0.81899999999999995</v>
      </c>
      <c r="B45">
        <v>1.0089999999999999</v>
      </c>
    </row>
    <row r="46" spans="1:2">
      <c r="A46">
        <v>0.73</v>
      </c>
      <c r="B46">
        <v>1.19</v>
      </c>
    </row>
    <row r="47" spans="1:2">
      <c r="A47">
        <v>0.67900000000000005</v>
      </c>
      <c r="B47">
        <v>1.399</v>
      </c>
    </row>
    <row r="48" spans="1:2">
      <c r="A48">
        <v>0.61699999999999999</v>
      </c>
      <c r="B48">
        <v>1.1990000000000001</v>
      </c>
    </row>
    <row r="49" spans="1:2">
      <c r="A49">
        <v>0.61</v>
      </c>
      <c r="B49">
        <v>1.33</v>
      </c>
    </row>
    <row r="50" spans="1:2">
      <c r="A50">
        <v>0.6</v>
      </c>
      <c r="B50">
        <v>1.24</v>
      </c>
    </row>
    <row r="51" spans="1:2">
      <c r="A51">
        <v>0.59499999999999997</v>
      </c>
      <c r="B51">
        <v>1.1919999999999999</v>
      </c>
    </row>
    <row r="52" spans="1:2">
      <c r="A52">
        <v>0.59</v>
      </c>
      <c r="B52">
        <v>1.1639999999999999</v>
      </c>
    </row>
    <row r="53" spans="1:2">
      <c r="A53">
        <v>0.58199999999999996</v>
      </c>
      <c r="B53">
        <v>1.1819999999999999</v>
      </c>
    </row>
    <row r="54" spans="1:2">
      <c r="A54">
        <v>0.57899999999999996</v>
      </c>
      <c r="B54">
        <v>1.0389999999999999</v>
      </c>
    </row>
    <row r="55" spans="1:2">
      <c r="A55">
        <v>0.57599999999999996</v>
      </c>
      <c r="B55">
        <v>0.998</v>
      </c>
    </row>
    <row r="56" spans="1:2">
      <c r="A56">
        <v>0.56999999999999995</v>
      </c>
      <c r="B56">
        <v>0.874</v>
      </c>
    </row>
    <row r="57" spans="1:2">
      <c r="A57">
        <v>0.54300000000000004</v>
      </c>
      <c r="B57">
        <v>1.212</v>
      </c>
    </row>
    <row r="58" spans="1:2">
      <c r="A58">
        <v>0.52600000000000002</v>
      </c>
      <c r="B58">
        <v>0.96899999999999997</v>
      </c>
    </row>
    <row r="59" spans="1:2">
      <c r="A59">
        <v>0.51500000000000001</v>
      </c>
      <c r="B59">
        <v>1.238</v>
      </c>
    </row>
    <row r="60" spans="1:2">
      <c r="A60">
        <v>0.47</v>
      </c>
      <c r="B60">
        <v>1.9</v>
      </c>
    </row>
    <row r="61" spans="1:2">
      <c r="A61">
        <v>0.43</v>
      </c>
      <c r="B61">
        <v>1.1499999999999999</v>
      </c>
    </row>
    <row r="62" spans="1:2">
      <c r="A62">
        <v>0.42799999999999999</v>
      </c>
      <c r="B62">
        <v>0.90100000000000002</v>
      </c>
    </row>
    <row r="63" spans="1:2">
      <c r="A63">
        <v>0.42</v>
      </c>
      <c r="B63">
        <v>1.034</v>
      </c>
    </row>
    <row r="64" spans="1:2">
      <c r="A64">
        <v>0.39500000000000002</v>
      </c>
      <c r="B64">
        <v>0.81699999999999995</v>
      </c>
    </row>
    <row r="65" spans="1:2">
      <c r="A65">
        <v>0.34</v>
      </c>
      <c r="B65">
        <v>1.0900000000000001</v>
      </c>
    </row>
    <row r="66" spans="1:2">
      <c r="A66">
        <v>0.309</v>
      </c>
      <c r="B66">
        <v>1.2929999999999999</v>
      </c>
    </row>
    <row r="67" spans="1:2">
      <c r="A67">
        <v>0.3</v>
      </c>
      <c r="B67">
        <v>1.04</v>
      </c>
    </row>
    <row r="68" spans="1:2">
      <c r="A68">
        <v>0.28999999999999998</v>
      </c>
      <c r="B68">
        <v>1.23</v>
      </c>
    </row>
    <row r="69" spans="1:2">
      <c r="A69">
        <v>0.28000000000000003</v>
      </c>
      <c r="B69">
        <v>0.76200000000000001</v>
      </c>
    </row>
    <row r="70" spans="1:2">
      <c r="A70">
        <v>0.26</v>
      </c>
      <c r="B70">
        <v>1.0569999999999999</v>
      </c>
    </row>
    <row r="71" spans="1:2">
      <c r="A71">
        <v>0.25045610000000001</v>
      </c>
      <c r="B71">
        <v>0.91988999999999999</v>
      </c>
    </row>
    <row r="72" spans="1:2">
      <c r="A72">
        <v>0.25</v>
      </c>
      <c r="B72">
        <v>0.97799999999999998</v>
      </c>
    </row>
    <row r="73" spans="1:2">
      <c r="A73">
        <v>0.247</v>
      </c>
      <c r="B73">
        <v>0.57189999999999996</v>
      </c>
    </row>
    <row r="74" spans="1:2">
      <c r="A74">
        <v>0.223</v>
      </c>
      <c r="B74">
        <v>0.85</v>
      </c>
    </row>
    <row r="75" spans="1:2">
      <c r="A75">
        <v>0.13800000000000001</v>
      </c>
      <c r="B75">
        <v>0.873</v>
      </c>
    </row>
    <row r="76" spans="1:2">
      <c r="A76">
        <v>8.4949999999999998E-2</v>
      </c>
      <c r="B76">
        <v>0.34300000000000003</v>
      </c>
    </row>
    <row r="77" spans="1:2">
      <c r="A77">
        <v>7.5804999999999997E-2</v>
      </c>
      <c r="B77">
        <v>0.4128</v>
      </c>
    </row>
    <row r="78" spans="1:2">
      <c r="A78">
        <v>7.0000000000000007E-2</v>
      </c>
      <c r="B78">
        <v>0.23</v>
      </c>
    </row>
    <row r="79" spans="1:2">
      <c r="A79">
        <v>7.0000000000000007E-2</v>
      </c>
      <c r="B79">
        <v>0.58099999999999996</v>
      </c>
    </row>
    <row r="80" spans="1:2">
      <c r="A80">
        <v>6.9000000000000006E-2</v>
      </c>
      <c r="B80">
        <v>0.59860000000000002</v>
      </c>
    </row>
    <row r="81" spans="1:2">
      <c r="A81">
        <v>5.978E-2</v>
      </c>
      <c r="B81">
        <v>0.50299000000000005</v>
      </c>
    </row>
    <row r="82" spans="1:2">
      <c r="A82">
        <v>5.16E-2</v>
      </c>
      <c r="B82">
        <v>0.70750000000000002</v>
      </c>
    </row>
    <row r="83" spans="1:2">
      <c r="A83">
        <v>5.0999999999999997E-2</v>
      </c>
      <c r="B83">
        <v>0.215</v>
      </c>
    </row>
    <row r="84" spans="1:2">
      <c r="A84">
        <v>4.4990000000000002E-2</v>
      </c>
      <c r="B84">
        <v>0.24399999999999999</v>
      </c>
    </row>
    <row r="85" spans="1:2">
      <c r="A85">
        <v>3.7199999999999997E-2</v>
      </c>
      <c r="B85">
        <v>0.22600000000000001</v>
      </c>
    </row>
    <row r="86" spans="1:2">
      <c r="A86">
        <v>3.5499999999999997E-2</v>
      </c>
      <c r="B86">
        <v>0.29399999999999998</v>
      </c>
    </row>
    <row r="87" spans="1:2">
      <c r="A87">
        <v>3.5299999999999998E-2</v>
      </c>
      <c r="B87">
        <v>0.25489000000000001</v>
      </c>
    </row>
    <row r="88" spans="1:2">
      <c r="A88">
        <v>3.5000000000000003E-2</v>
      </c>
      <c r="B88">
        <v>0.22800000000000001</v>
      </c>
    </row>
    <row r="89" spans="1:2">
      <c r="A89">
        <v>3.4013000000000002E-2</v>
      </c>
      <c r="B89">
        <v>0.24124000000000001</v>
      </c>
    </row>
    <row r="90" spans="1:2">
      <c r="A90">
        <v>3.1314000000000002E-2</v>
      </c>
      <c r="B90">
        <v>0.21229999999999999</v>
      </c>
    </row>
    <row r="91" spans="1:2">
      <c r="A91">
        <v>2.9963E-2</v>
      </c>
      <c r="B91">
        <v>0.17904999999999999</v>
      </c>
    </row>
    <row r="92" spans="1:2">
      <c r="A92">
        <v>2.8000000000000001E-2</v>
      </c>
      <c r="B92">
        <v>0.26100000000000001</v>
      </c>
    </row>
    <row r="93" spans="1:2">
      <c r="A93">
        <v>2.725E-2</v>
      </c>
      <c r="B93">
        <v>0.22366</v>
      </c>
    </row>
    <row r="94" spans="1:2">
      <c r="A94">
        <v>2.5999999999999999E-2</v>
      </c>
      <c r="B94">
        <v>7.4999999999999997E-2</v>
      </c>
    </row>
    <row r="95" spans="1:2">
      <c r="A95">
        <v>2.5466200000000001E-2</v>
      </c>
      <c r="B95">
        <v>0.54564000000000001</v>
      </c>
    </row>
    <row r="96" spans="1:2">
      <c r="A96">
        <v>2.4899999999999999E-2</v>
      </c>
      <c r="B96">
        <v>0.24060999999999999</v>
      </c>
    </row>
    <row r="97" spans="1:2">
      <c r="A97">
        <v>2.3E-2</v>
      </c>
      <c r="B97">
        <v>0.11799999999999999</v>
      </c>
    </row>
    <row r="98" spans="1:2">
      <c r="A98">
        <v>2.3E-2</v>
      </c>
      <c r="B98">
        <v>0.192</v>
      </c>
    </row>
    <row r="99" spans="1:2">
      <c r="A99">
        <v>0.02</v>
      </c>
      <c r="B99">
        <v>0.128</v>
      </c>
    </row>
    <row r="100" spans="1:2">
      <c r="A100">
        <v>1.9528E-2</v>
      </c>
      <c r="B100">
        <v>0.34472999999999998</v>
      </c>
    </row>
    <row r="101" spans="1:2">
      <c r="A101">
        <v>1.8114999999999999E-2</v>
      </c>
      <c r="B101">
        <v>0.14613000000000001</v>
      </c>
    </row>
    <row r="102" spans="1:2">
      <c r="A102">
        <v>1.7000000000000001E-2</v>
      </c>
      <c r="B102">
        <v>0.2114</v>
      </c>
    </row>
    <row r="103" spans="1:2">
      <c r="A103">
        <v>1.472E-2</v>
      </c>
      <c r="B103">
        <v>0.14657999999999999</v>
      </c>
    </row>
    <row r="104" spans="1:2">
      <c r="A104">
        <v>1.2999999999999999E-2</v>
      </c>
      <c r="B104">
        <v>0.23899999999999999</v>
      </c>
    </row>
    <row r="105" spans="1:2">
      <c r="A105">
        <v>1.2460000000000001E-2</v>
      </c>
      <c r="B105">
        <v>0.12623999999999999</v>
      </c>
    </row>
    <row r="106" spans="1:2">
      <c r="A106">
        <v>1.19971E-2</v>
      </c>
      <c r="B106">
        <v>0.16166</v>
      </c>
    </row>
    <row r="107" spans="1:2">
      <c r="A107">
        <v>1.0997E-2</v>
      </c>
      <c r="B107">
        <v>0.23080000000000001</v>
      </c>
    </row>
    <row r="108" spans="1:2">
      <c r="A108">
        <v>9.4400000000000005E-3</v>
      </c>
      <c r="B108">
        <v>5.1999999999999998E-2</v>
      </c>
    </row>
    <row r="109" spans="1:2">
      <c r="A109">
        <v>8.9999999999999993E-3</v>
      </c>
      <c r="B109">
        <v>7.5999999999999998E-2</v>
      </c>
    </row>
    <row r="110" spans="1:2">
      <c r="A110">
        <v>7.0200000000000002E-3</v>
      </c>
      <c r="B110">
        <v>0.1008</v>
      </c>
    </row>
    <row r="111" spans="1:2">
      <c r="A111">
        <v>4.15E-3</v>
      </c>
      <c r="B111">
        <v>9.7199999999999995E-2</v>
      </c>
    </row>
    <row r="112" spans="1:2">
      <c r="A112">
        <v>2.0100000000000001E-3</v>
      </c>
      <c r="B112">
        <v>0.108</v>
      </c>
    </row>
    <row r="113" spans="1:2">
      <c r="A113">
        <v>9.1E-4</v>
      </c>
      <c r="B113">
        <v>6.3E-2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L20" sqref="L20"/>
    </sheetView>
  </sheetViews>
  <sheetFormatPr defaultRowHeight="15"/>
  <sheetData>
    <row r="1" spans="1:8">
      <c r="A1" s="5" t="s">
        <v>133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3" spans="1:8" ht="15.75">
      <c r="A3" s="6" t="s">
        <v>134</v>
      </c>
      <c r="B3" s="6"/>
      <c r="C3" s="6"/>
      <c r="D3" s="6"/>
      <c r="E3" s="6"/>
      <c r="F3" s="6"/>
      <c r="G3" s="6"/>
      <c r="H3" s="6"/>
    </row>
    <row r="5" spans="1:8" ht="45">
      <c r="A5" s="3" t="s">
        <v>123</v>
      </c>
      <c r="B5" s="7" t="str">
        <f>Analysis!B1</f>
        <v>beta Pic c</v>
      </c>
      <c r="D5" s="3" t="s">
        <v>125</v>
      </c>
      <c r="E5" s="7" t="str">
        <f>Analysis!B3</f>
        <v>K2-266 Ac</v>
      </c>
    </row>
    <row r="8" spans="1:8" ht="30">
      <c r="A8" s="3" t="s">
        <v>127</v>
      </c>
      <c r="B8" s="7">
        <f>Analysis!B5</f>
        <v>0.94226637857142814</v>
      </c>
      <c r="D8" s="3" t="s">
        <v>128</v>
      </c>
      <c r="E8" s="7">
        <f>Analysis!B6</f>
        <v>0.87940794642857167</v>
      </c>
    </row>
    <row r="13" spans="1:8">
      <c r="A13" s="3"/>
    </row>
  </sheetData>
  <mergeCells count="2">
    <mergeCell ref="A1:H2"/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Analysis</vt:lpstr>
      <vt:lpstr>Planet Status</vt:lpstr>
      <vt:lpstr>Top 10 Mass</vt:lpstr>
      <vt:lpstr>Mass vs Radius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</cp:lastModifiedBy>
  <dcterms:created xsi:type="dcterms:W3CDTF">2026-08-12T16:16:49Z</dcterms:created>
  <dcterms:modified xsi:type="dcterms:W3CDTF">2026-08-14T17:58:42Z</dcterms:modified>
</cp:coreProperties>
</file>